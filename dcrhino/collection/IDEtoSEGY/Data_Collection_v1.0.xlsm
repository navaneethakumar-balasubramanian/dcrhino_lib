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oogleDrive\Projects\RhINo\dcrhino_data_processing\dcrhino\collection\IDEtoSEGY\"/>
    </mc:Choice>
  </mc:AlternateContent>
  <xr:revisionPtr revIDLastSave="0" documentId="13_ncr:1_{88F0BCCD-E29A-4844-8EB2-9D1B4BE418C9}" xr6:coauthVersionLast="33" xr6:coauthVersionMax="33" xr10:uidLastSave="{00000000-0000-0000-0000-000000000000}"/>
  <workbookProtection workbookAlgorithmName="SHA-512" workbookHashValue="ArnehcSQArE1pPnLWKhv4n7J1awX3tEVwIewGvYjtNFkfyvDH3hwZ54GaiKLENDJDVwoDXLV90PV49A4iR9GAQ==" workbookSaltValue="xDDm3j64thrWRCU6lqf84Q==" workbookSpinCount="100000" lockStructure="1"/>
  <bookViews>
    <workbookView xWindow="0" yWindow="0" windowWidth="13155" windowHeight="0" xr2:uid="{EBA64141-146A-4B6F-A575-F2FE1C0683BE}"/>
  </bookViews>
  <sheets>
    <sheet name="Header" sheetId="6" r:id="rId1"/>
    <sheet name="Records" sheetId="5" r:id="rId2"/>
    <sheet name="Menus" sheetId="7" r:id="rId3"/>
  </sheets>
  <definedNames>
    <definedName name="Axial_Axis">Header!$E$29</definedName>
    <definedName name="Axial_Selection">Header!$D$29</definedName>
    <definedName name="Bit_Date">Header!$D$17</definedName>
    <definedName name="Bit_Model">Header!$D$15</definedName>
    <definedName name="Bit_Size">Header!$D$16</definedName>
    <definedName name="Bit_Type_Selection">Header!$D$14</definedName>
    <definedName name="Comments">Header!$D$33</definedName>
    <definedName name="Component_Lengths">Header!$J$5:$J$14</definedName>
    <definedName name="Component_Units">Header!$K$5:$K$14</definedName>
    <definedName name="Drill_Bit">Header!$E$14</definedName>
    <definedName name="Drill_MWD">Header!$E$13</definedName>
    <definedName name="Drill_Type">Header!$E$12</definedName>
    <definedName name="Drill_Type_Selection">Header!$D$12</definedName>
    <definedName name="DS_C1">Header!$L$5</definedName>
    <definedName name="DS_C1_Selection">Header!$I$5</definedName>
    <definedName name="DS_C10">Header!$L$14</definedName>
    <definedName name="DS_C10_Selection">Header!$I$14</definedName>
    <definedName name="DS_C2">Header!$L$6</definedName>
    <definedName name="DS_C2_Selection">Header!$I$6</definedName>
    <definedName name="DS_C3">Header!$L$7</definedName>
    <definedName name="DS_C3_Selection">Header!$I$7</definedName>
    <definedName name="DS_C4">Header!$L$8</definedName>
    <definedName name="DS_C4_Selection">Header!$I$8</definedName>
    <definedName name="DS_C5">Header!$L$9</definedName>
    <definedName name="DS_C5_Selection">Header!$I$9</definedName>
    <definedName name="DS_C6">Header!$L$10</definedName>
    <definedName name="DS_C6_Selection">Header!$I$10</definedName>
    <definedName name="DS_C7">Header!$L$11</definedName>
    <definedName name="DS_C7_Selection">Header!$I$11</definedName>
    <definedName name="DS_C8">Header!$L$12</definedName>
    <definedName name="DS_C8_Selection">Header!$I$12</definedName>
    <definedName name="DS_C9">Header!$L$13</definedName>
    <definedName name="DS_C9_Selection">Header!$I$13</definedName>
    <definedName name="DS_Length">Header!$I$3</definedName>
    <definedName name="DS_Total_Length_Aux">Header!$K$3</definedName>
    <definedName name="Engineer">Header!$D$6</definedName>
    <definedName name="File_date">Header!$I$21</definedName>
    <definedName name="File_name">Header!$I$22</definedName>
    <definedName name="File_to_load">Header!$R$11</definedName>
    <definedName name="Installation_Diameter">Header!$D$24</definedName>
    <definedName name="Loaded">Header!$R$13</definedName>
    <definedName name="Mine_Company">Header!$D$4</definedName>
    <definedName name="Mine_Country">Header!$D$3</definedName>
    <definedName name="Mine_Name">Header!$D$5</definedName>
    <definedName name="MWD_Type_Selection">Header!$D$13</definedName>
    <definedName name="Record_ID">Header!$Q$2</definedName>
    <definedName name="Rig_ID">Header!$D$11</definedName>
    <definedName name="Rig_Manufacturer">Header!$D$10</definedName>
    <definedName name="Rig_Model">Header!$D$9</definedName>
    <definedName name="Saved">Header!$R$2</definedName>
    <definedName name="Sensor_MMG">Header!$D$28</definedName>
    <definedName name="Sensor_MSR">Header!$D$27</definedName>
    <definedName name="Sensor_PMG">Header!$D$26</definedName>
    <definedName name="Sensor_Position">Header!$D$23</definedName>
    <definedName name="Sensor_PSR">Header!$D$25</definedName>
    <definedName name="Sensor_SN">Header!$D$22</definedName>
    <definedName name="Sensor_Type">Header!$E$21</definedName>
    <definedName name="Sensor_Type_Selection">Header!$D$21</definedName>
    <definedName name="Steel_OD">Header!$I$4</definedName>
    <definedName name="Tangential_Axis">Header!$E$30</definedName>
    <definedName name="Tangential_Selection">Header!$D$30</definedName>
  </definedNames>
  <calcPr calcId="179017"/>
</workbook>
</file>

<file path=xl/calcChain.xml><?xml version="1.0" encoding="utf-8"?>
<calcChain xmlns="http://schemas.openxmlformats.org/spreadsheetml/2006/main">
  <c r="L6" i="6" l="1"/>
  <c r="N6" i="6" s="1"/>
  <c r="L5" i="6"/>
  <c r="N5" i="6" s="1"/>
  <c r="L14" i="6"/>
  <c r="N14" i="6" s="1"/>
  <c r="L13" i="6"/>
  <c r="N13" i="6" s="1"/>
  <c r="L12" i="6"/>
  <c r="N12" i="6" s="1"/>
  <c r="L11" i="6"/>
  <c r="N11" i="6" s="1"/>
  <c r="L10" i="6"/>
  <c r="N10" i="6" s="1"/>
  <c r="L9" i="6"/>
  <c r="N9" i="6" s="1"/>
  <c r="L8" i="6"/>
  <c r="N8" i="6" s="1"/>
  <c r="L7" i="6"/>
  <c r="N7" i="6" s="1"/>
  <c r="E30" i="6"/>
  <c r="E29" i="6"/>
  <c r="I3" i="6" l="1"/>
  <c r="E21" i="6"/>
  <c r="E14" i="6"/>
  <c r="E13" i="6"/>
  <c r="E12" i="6" l="1"/>
  <c r="R13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ABF2A6C-074A-4EC8-9B53-D4BBCA44B2CF}" name="RHINO_schema" type="4" refreshedVersion="0" background="1">
    <webPr xml="1" sourceData="1" url="E:\GoogleDrive\Projects\RhINo\dcrhino_data_processing\collection_pipeline\IDEtoSEGY\Unstable\RHINO_schema.xml" htmlTables="1" htmlFormat="all"/>
  </connection>
  <connection id="2" xr16:uid="{B2A6FF63-0614-4C9E-B66A-FA9CA5BC8490}" name="RHINO_schema1" type="4" refreshedVersion="0" background="1">
    <webPr xml="1" sourceData="1" url="E:\GoogleDrive\Projects\RhINo\dcrhino_data_processing\collection_pipeline\IDEtoSEGY\Unstable\RHINO_schema.xsd" htmlTables="1" htmlFormat="all"/>
  </connection>
  <connection id="3" xr16:uid="{048B2580-EB17-44CE-B370-4839BFE3311E}" name="RHINO_schema2" type="4" refreshedVersion="0" background="1">
    <webPr xml="1" sourceData="1" url="E:\GoogleDrive\Projects\RhINo\dcrhino_data_processing\collection_pipeline\IDEtoSEGY\Unstable\RHINO_schema.xsd" htmlTables="1" htmlFormat="all"/>
  </connection>
  <connection id="4" xr16:uid="{43005698-F70F-41CD-9E3D-9CCEFE59C797}" name="RHINO_schema3" type="4" refreshedVersion="0" background="1">
    <webPr xml="1" sourceData="1" url="E:\GoogleDrive\Projects\RhINo\dcrhino_data_processing\collection_pipeline\IDEtoSEGY\Unstable\RHINO_schema.xsd" htmlTables="1" htmlFormat="all"/>
  </connection>
  <connection id="5" xr16:uid="{CEA2FEA9-B1AC-4A4B-84E3-185DFFD02242}" name="RHINO_schema4" type="4" refreshedVersion="0" background="1">
    <webPr xml="1" sourceData="1" url="E:\GoogleDrive\Projects\RhINo\dcrhino_data_processing\collection_pipeline\IDEtoSEGY\Unstable\RHINO_schema.xml" htmlTables="1" htmlFormat="all"/>
  </connection>
  <connection id="6" xr16:uid="{4911C280-659F-43ED-A8AF-34A35CF37C60}" name="RHINO_schema5" type="4" refreshedVersion="0" background="1">
    <webPr xml="1" sourceData="1" url="E:\GoogleDrive\Projects\RhINo\dcrhino_data_processing\collection_pipeline\IDEtoSEGY\Unstable\RHINO_schema.xml" htmlTables="1" htmlFormat="all"/>
  </connection>
  <connection id="7" xr16:uid="{B6C9F6AC-65AE-4BD3-BBCC-D98777500802}" name="RHINO_schema6" type="4" refreshedVersion="0" background="1">
    <webPr xml="1" sourceData="1" url="E:\GoogleDrive\Projects\RhINo\dcrhino_data_processing\collection_pipeline\IDEtoSEGY\Unstable\RHINO_schema.xml" htmlTables="1" htmlFormat="all"/>
  </connection>
</connections>
</file>

<file path=xl/sharedStrings.xml><?xml version="1.0" encoding="utf-8"?>
<sst xmlns="http://schemas.openxmlformats.org/spreadsheetml/2006/main" count="170" uniqueCount="132">
  <si>
    <t>Mine</t>
  </si>
  <si>
    <t>Name</t>
  </si>
  <si>
    <t>Country</t>
  </si>
  <si>
    <t>Company</t>
  </si>
  <si>
    <t>Drill</t>
  </si>
  <si>
    <t>Type</t>
  </si>
  <si>
    <t>Manufacturer</t>
  </si>
  <si>
    <t>ID</t>
  </si>
  <si>
    <t>MWD Type</t>
  </si>
  <si>
    <t>Bit Type</t>
  </si>
  <si>
    <t>Bit Date</t>
  </si>
  <si>
    <t>Drillstring</t>
  </si>
  <si>
    <t>Component 1</t>
  </si>
  <si>
    <t>Component 2</t>
  </si>
  <si>
    <t>Component 3</t>
  </si>
  <si>
    <t>Component 4</t>
  </si>
  <si>
    <t>Component 5</t>
  </si>
  <si>
    <t>Component 6</t>
  </si>
  <si>
    <t>Component 7</t>
  </si>
  <si>
    <t>Component 8</t>
  </si>
  <si>
    <t>Component 9</t>
  </si>
  <si>
    <t>Component 10</t>
  </si>
  <si>
    <t>Sensor</t>
  </si>
  <si>
    <t>Serial Number</t>
  </si>
  <si>
    <t>Position</t>
  </si>
  <si>
    <t>Piezo Sampling Rate</t>
  </si>
  <si>
    <t>MEMS Sampling Rate</t>
  </si>
  <si>
    <t>Axial Axis</t>
  </si>
  <si>
    <t>Tangential Axis</t>
  </si>
  <si>
    <t>Date</t>
  </si>
  <si>
    <t>File</t>
  </si>
  <si>
    <t>Comments</t>
  </si>
  <si>
    <t>Rig_Manufacturer</t>
  </si>
  <si>
    <t>Rig_ID</t>
  </si>
  <si>
    <t>Drill_Type</t>
  </si>
  <si>
    <t>MWD_Type</t>
  </si>
  <si>
    <t>Bit_Type</t>
  </si>
  <si>
    <t>Bit_Date</t>
  </si>
  <si>
    <t>Serial_Number</t>
  </si>
  <si>
    <t>Piezo_Max_G</t>
  </si>
  <si>
    <t>MEMS_Max_G</t>
  </si>
  <si>
    <t>Axial_Axis</t>
  </si>
  <si>
    <t>Tangential_Axis</t>
  </si>
  <si>
    <t>Drill Type</t>
  </si>
  <si>
    <t>Total Length</t>
  </si>
  <si>
    <t>Piezo Max G</t>
  </si>
  <si>
    <t>MEMS Max G</t>
  </si>
  <si>
    <t>Record ID</t>
  </si>
  <si>
    <t>Filename</t>
  </si>
  <si>
    <t>Record_ID</t>
  </si>
  <si>
    <t>Model</t>
  </si>
  <si>
    <t>Engineer</t>
  </si>
  <si>
    <t>*Red means the record ID does not exist in the database</t>
  </si>
  <si>
    <t>*Green means the record ID exists in the database</t>
  </si>
  <si>
    <t>DS Component Values</t>
  </si>
  <si>
    <t>Sensor Type</t>
  </si>
  <si>
    <t>SSX</t>
  </si>
  <si>
    <t>RHINO</t>
  </si>
  <si>
    <t>Axis</t>
  </si>
  <si>
    <t>X</t>
  </si>
  <si>
    <t>Y</t>
  </si>
  <si>
    <t>Z</t>
  </si>
  <si>
    <t>DOUG_KIRKBY</t>
  </si>
  <si>
    <t>NATAL_RIVADENEYRA</t>
  </si>
  <si>
    <t>USA</t>
  </si>
  <si>
    <t>CANADA</t>
  </si>
  <si>
    <t>AUSTRALIA</t>
  </si>
  <si>
    <t>MEXICO</t>
  </si>
  <si>
    <t>CHILE</t>
  </si>
  <si>
    <t>ARGENTINA</t>
  </si>
  <si>
    <t>ELECTRIC_ROTARY</t>
  </si>
  <si>
    <t>DIESEL_ROTARY</t>
  </si>
  <si>
    <t>DTH</t>
  </si>
  <si>
    <t>TOP_HAMMER</t>
  </si>
  <si>
    <t>CORING</t>
  </si>
  <si>
    <t>TERRAIN</t>
  </si>
  <si>
    <t>Max G</t>
  </si>
  <si>
    <t>BIT</t>
  </si>
  <si>
    <t>SUB</t>
  </si>
  <si>
    <t>STEEL</t>
  </si>
  <si>
    <t>SAVER</t>
  </si>
  <si>
    <t>SHOCKSUB</t>
  </si>
  <si>
    <t>Mine Name</t>
  </si>
  <si>
    <t>m</t>
  </si>
  <si>
    <t>Hz</t>
  </si>
  <si>
    <t>g</t>
  </si>
  <si>
    <t>Value</t>
  </si>
  <si>
    <t>NONE</t>
  </si>
  <si>
    <t>PRESENT</t>
  </si>
  <si>
    <t>OPTIONAL</t>
  </si>
  <si>
    <t>NOT_PRESENT</t>
  </si>
  <si>
    <t>DrillbitType</t>
  </si>
  <si>
    <t>TRICONE</t>
  </si>
  <si>
    <t>Bit Size</t>
  </si>
  <si>
    <t>in</t>
  </si>
  <si>
    <t>Installation Diameter</t>
  </si>
  <si>
    <t>DC Recording Engineer</t>
  </si>
  <si>
    <t>Bit_Size</t>
  </si>
  <si>
    <t>Installation_Diameter</t>
  </si>
  <si>
    <t>Mine_Name</t>
  </si>
  <si>
    <t>Recording_Engineer</t>
  </si>
  <si>
    <t>Mine_Country</t>
  </si>
  <si>
    <t>Mine_Company</t>
  </si>
  <si>
    <t>DS_Total_Length</t>
  </si>
  <si>
    <t>DS_Component1</t>
  </si>
  <si>
    <t>DS_Component2</t>
  </si>
  <si>
    <t>DS_Component3</t>
  </si>
  <si>
    <t>DS_Component4</t>
  </si>
  <si>
    <t>DS_Component5</t>
  </si>
  <si>
    <t>DS_Component6</t>
  </si>
  <si>
    <t>DS_Component7</t>
  </si>
  <si>
    <t>DS_Component8</t>
  </si>
  <si>
    <t>DS_Component9</t>
  </si>
  <si>
    <t>DS_Component10</t>
  </si>
  <si>
    <t>Sensor_Type</t>
  </si>
  <si>
    <t>Piezo_Sampling_Rate</t>
  </si>
  <si>
    <t>MEMS_Sampling_Rate</t>
  </si>
  <si>
    <t>Recording_Date</t>
  </si>
  <si>
    <t>Rig_Model</t>
  </si>
  <si>
    <t>Bit Model</t>
  </si>
  <si>
    <t>Bit_Model</t>
  </si>
  <si>
    <t>Units</t>
  </si>
  <si>
    <t>ft</t>
  </si>
  <si>
    <t>cm</t>
  </si>
  <si>
    <t>Steel OD</t>
  </si>
  <si>
    <t>just a simple calculator to make it easier to obtain the overall length.</t>
  </si>
  <si>
    <t xml:space="preserve">If you don't have the length of each individual component, just put the </t>
  </si>
  <si>
    <t>overall length in one of the present components</t>
  </si>
  <si>
    <t>1) Position: Distance from sensor to top of Drillstring (Shock Sub)</t>
  </si>
  <si>
    <t>2) Total Length: Distance from top of Shock Sub to bottom of drill bit</t>
  </si>
  <si>
    <t>3) The length of the components is not saved, only the overall length. That is</t>
  </si>
  <si>
    <t>DS_Steel_OD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</si>
</sst>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8"/>
      <color rgb="FF000000"/>
      <name val="Calibri"/>
      <family val="2"/>
    </font>
    <font>
      <i/>
      <sz val="8"/>
      <color rgb="FF7F7F7F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2F2F2"/>
      </patternFill>
    </fill>
    <fill>
      <patternFill patternType="solid">
        <fgColor theme="5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/>
      <right/>
      <top style="thick">
        <color theme="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0" fontId="2" fillId="0" borderId="1" applyNumberFormat="0" applyFill="0" applyAlignment="0" applyProtection="0"/>
    <xf numFmtId="0" fontId="1" fillId="2" borderId="0" applyNumberFormat="0" applyBorder="0" applyAlignment="0" applyProtection="0"/>
    <xf numFmtId="0" fontId="7" fillId="5" borderId="19" applyNumberFormat="0" applyAlignment="0" applyProtection="0"/>
    <xf numFmtId="0" fontId="8" fillId="0" borderId="0" applyNumberFormat="0" applyFill="0" applyBorder="0" applyAlignment="0" applyProtection="0"/>
    <xf numFmtId="0" fontId="4" fillId="6" borderId="0" applyNumberFormat="0" applyBorder="0" applyAlignment="0" applyProtection="0"/>
  </cellStyleXfs>
  <cellXfs count="83">
    <xf numFmtId="0" fontId="0" fillId="0" borderId="0" xfId="0"/>
    <xf numFmtId="49" fontId="0" fillId="4" borderId="3" xfId="0" applyNumberFormat="1" applyFont="1" applyFill="1" applyBorder="1"/>
    <xf numFmtId="14" fontId="0" fillId="0" borderId="0" xfId="0" applyNumberFormat="1"/>
    <xf numFmtId="49" fontId="0" fillId="4" borderId="0" xfId="0" applyNumberFormat="1" applyFont="1" applyFill="1" applyBorder="1"/>
    <xf numFmtId="0" fontId="3" fillId="3" borderId="0" xfId="0" applyFont="1" applyFill="1" applyBorder="1"/>
    <xf numFmtId="0" fontId="3" fillId="3" borderId="14" xfId="0" applyFont="1" applyFill="1" applyBorder="1"/>
    <xf numFmtId="49" fontId="3" fillId="3" borderId="0" xfId="0" applyNumberFormat="1" applyFont="1" applyFill="1" applyBorder="1"/>
    <xf numFmtId="0" fontId="3" fillId="3" borderId="13" xfId="0" applyFont="1" applyFill="1" applyBorder="1"/>
    <xf numFmtId="14" fontId="3" fillId="3" borderId="13" xfId="0" applyNumberFormat="1" applyFont="1" applyFill="1" applyBorder="1"/>
    <xf numFmtId="49" fontId="0" fillId="4" borderId="2" xfId="0" applyNumberFormat="1" applyFont="1" applyFill="1" applyBorder="1" applyAlignment="1">
      <alignment horizontal="center"/>
    </xf>
    <xf numFmtId="2" fontId="0" fillId="4" borderId="2" xfId="0" applyNumberFormat="1" applyFont="1" applyFill="1" applyBorder="1" applyAlignment="1">
      <alignment horizontal="center"/>
    </xf>
    <xf numFmtId="1" fontId="0" fillId="4" borderId="2" xfId="0" applyNumberFormat="1" applyFont="1" applyFill="1" applyBorder="1" applyAlignment="1">
      <alignment horizontal="center"/>
    </xf>
    <xf numFmtId="49" fontId="0" fillId="4" borderId="0" xfId="0" applyNumberFormat="1" applyFont="1" applyFill="1" applyBorder="1" applyAlignment="1">
      <alignment horizontal="center"/>
    </xf>
    <xf numFmtId="2" fontId="0" fillId="4" borderId="0" xfId="0" applyNumberFormat="1" applyFont="1" applyFill="1" applyBorder="1" applyAlignment="1">
      <alignment horizontal="center"/>
    </xf>
    <xf numFmtId="2" fontId="0" fillId="4" borderId="0" xfId="0" applyNumberFormat="1" applyFont="1" applyFill="1" applyAlignment="1">
      <alignment horizontal="center"/>
    </xf>
    <xf numFmtId="1" fontId="0" fillId="4" borderId="0" xfId="0" applyNumberFormat="1" applyFont="1" applyFill="1" applyBorder="1" applyAlignment="1">
      <alignment horizontal="center"/>
    </xf>
    <xf numFmtId="1" fontId="0" fillId="4" borderId="0" xfId="0" applyNumberFormat="1" applyFont="1" applyFill="1" applyAlignment="1">
      <alignment horizontal="center"/>
    </xf>
    <xf numFmtId="164" fontId="0" fillId="4" borderId="2" xfId="0" applyNumberFormat="1" applyFont="1" applyFill="1" applyBorder="1" applyAlignment="1">
      <alignment horizontal="center"/>
    </xf>
    <xf numFmtId="49" fontId="0" fillId="4" borderId="12" xfId="0" applyNumberFormat="1" applyFont="1" applyFill="1" applyBorder="1" applyAlignment="1">
      <alignment horizontal="left"/>
    </xf>
    <xf numFmtId="49" fontId="0" fillId="0" borderId="15" xfId="0" applyNumberFormat="1" applyBorder="1" applyAlignment="1" applyProtection="1">
      <alignment horizontal="right"/>
      <protection locked="0"/>
    </xf>
    <xf numFmtId="49" fontId="0" fillId="0" borderId="17" xfId="0" applyNumberFormat="1" applyBorder="1" applyAlignment="1" applyProtection="1">
      <alignment horizontal="right"/>
      <protection locked="0"/>
    </xf>
    <xf numFmtId="49" fontId="0" fillId="0" borderId="16" xfId="0" applyNumberFormat="1" applyBorder="1" applyAlignment="1" applyProtection="1">
      <alignment horizontal="right"/>
      <protection locked="0"/>
    </xf>
    <xf numFmtId="2" fontId="0" fillId="0" borderId="17" xfId="0" applyNumberFormat="1" applyBorder="1" applyAlignment="1" applyProtection="1">
      <alignment horizontal="right"/>
      <protection locked="0"/>
    </xf>
    <xf numFmtId="1" fontId="0" fillId="0" borderId="17" xfId="0" applyNumberFormat="1" applyBorder="1" applyAlignment="1" applyProtection="1">
      <alignment horizontal="right"/>
      <protection locked="0"/>
    </xf>
    <xf numFmtId="2" fontId="0" fillId="0" borderId="17" xfId="0" applyNumberFormat="1" applyBorder="1" applyProtection="1">
      <protection locked="0"/>
    </xf>
    <xf numFmtId="0" fontId="0" fillId="0" borderId="0" xfId="0" applyProtection="1"/>
    <xf numFmtId="0" fontId="0" fillId="0" borderId="4" xfId="0" applyBorder="1" applyProtection="1"/>
    <xf numFmtId="0" fontId="0" fillId="0" borderId="5" xfId="0" applyBorder="1" applyProtection="1"/>
    <xf numFmtId="0" fontId="0" fillId="0" borderId="6" xfId="0" applyBorder="1" applyProtection="1"/>
    <xf numFmtId="0" fontId="4" fillId="0" borderId="5" xfId="0" applyFont="1" applyFill="1" applyBorder="1" applyProtection="1"/>
    <xf numFmtId="0" fontId="0" fillId="0" borderId="0" xfId="0" applyBorder="1" applyProtection="1"/>
    <xf numFmtId="0" fontId="0" fillId="0" borderId="7" xfId="0" applyBorder="1" applyProtection="1"/>
    <xf numFmtId="0" fontId="1" fillId="2" borderId="15" xfId="2" applyBorder="1" applyProtection="1"/>
    <xf numFmtId="0" fontId="0" fillId="0" borderId="15" xfId="0" applyBorder="1" applyProtection="1"/>
    <xf numFmtId="0" fontId="1" fillId="2" borderId="0" xfId="2" applyBorder="1" applyProtection="1"/>
    <xf numFmtId="0" fontId="8" fillId="0" borderId="17" xfId="4" applyBorder="1" applyProtection="1"/>
    <xf numFmtId="0" fontId="0" fillId="0" borderId="17" xfId="0" applyBorder="1" applyProtection="1"/>
    <xf numFmtId="0" fontId="0" fillId="0" borderId="8" xfId="0" applyBorder="1" applyProtection="1"/>
    <xf numFmtId="0" fontId="1" fillId="2" borderId="17" xfId="2" applyBorder="1" applyProtection="1"/>
    <xf numFmtId="0" fontId="0" fillId="2" borderId="17" xfId="2" applyFont="1" applyBorder="1" applyProtection="1"/>
    <xf numFmtId="0" fontId="0" fillId="2" borderId="16" xfId="2" applyFont="1" applyBorder="1" applyProtection="1"/>
    <xf numFmtId="0" fontId="0" fillId="0" borderId="16" xfId="0" applyBorder="1" applyProtection="1"/>
    <xf numFmtId="0" fontId="4" fillId="0" borderId="0" xfId="0" applyFont="1" applyBorder="1" applyProtection="1"/>
    <xf numFmtId="0" fontId="0" fillId="2" borderId="0" xfId="2" applyFont="1" applyBorder="1" applyProtection="1"/>
    <xf numFmtId="0" fontId="0" fillId="0" borderId="9" xfId="0" applyBorder="1" applyProtection="1"/>
    <xf numFmtId="0" fontId="0" fillId="0" borderId="10" xfId="0" applyBorder="1" applyProtection="1"/>
    <xf numFmtId="0" fontId="0" fillId="0" borderId="11" xfId="0" applyBorder="1" applyProtection="1"/>
    <xf numFmtId="164" fontId="0" fillId="0" borderId="17" xfId="0" applyNumberFormat="1" applyBorder="1" applyAlignment="1" applyProtection="1">
      <alignment horizontal="right"/>
    </xf>
    <xf numFmtId="0" fontId="4" fillId="6" borderId="4" xfId="5" applyBorder="1" applyProtection="1"/>
    <xf numFmtId="0" fontId="4" fillId="6" borderId="5" xfId="5" applyBorder="1" applyProtection="1"/>
    <xf numFmtId="0" fontId="4" fillId="6" borderId="6" xfId="5" applyBorder="1" applyProtection="1"/>
    <xf numFmtId="0" fontId="4" fillId="6" borderId="9" xfId="5" applyBorder="1" applyProtection="1"/>
    <xf numFmtId="0" fontId="4" fillId="6" borderId="10" xfId="5" applyBorder="1" applyProtection="1"/>
    <xf numFmtId="0" fontId="4" fillId="6" borderId="11" xfId="5" applyBorder="1" applyProtection="1"/>
    <xf numFmtId="164" fontId="0" fillId="0" borderId="15" xfId="0" applyNumberFormat="1" applyBorder="1" applyAlignment="1" applyProtection="1">
      <alignment horizontal="right"/>
    </xf>
    <xf numFmtId="19" fontId="0" fillId="0" borderId="0" xfId="0" applyNumberFormat="1" applyProtection="1"/>
    <xf numFmtId="0" fontId="2" fillId="0" borderId="5" xfId="1" applyBorder="1" applyAlignment="1" applyProtection="1">
      <alignment horizontal="center"/>
    </xf>
    <xf numFmtId="0" fontId="2" fillId="0" borderId="0" xfId="1" applyBorder="1" applyAlignment="1" applyProtection="1">
      <alignment horizontal="center"/>
    </xf>
    <xf numFmtId="0" fontId="9" fillId="5" borderId="19" xfId="3" applyFont="1" applyBorder="1" applyProtection="1"/>
    <xf numFmtId="0" fontId="9" fillId="5" borderId="21" xfId="3" applyFont="1" applyBorder="1" applyProtection="1"/>
    <xf numFmtId="0" fontId="11" fillId="0" borderId="20" xfId="4" applyFont="1" applyBorder="1" applyProtection="1"/>
    <xf numFmtId="0" fontId="12" fillId="0" borderId="20" xfId="0" applyFont="1" applyBorder="1" applyProtection="1"/>
    <xf numFmtId="0" fontId="4" fillId="0" borderId="8" xfId="0" applyFont="1" applyBorder="1" applyProtection="1"/>
    <xf numFmtId="2" fontId="0" fillId="0" borderId="17" xfId="0" applyNumberFormat="1" applyBorder="1" applyProtection="1"/>
    <xf numFmtId="0" fontId="4" fillId="0" borderId="17" xfId="0" applyFont="1" applyBorder="1" applyProtection="1"/>
    <xf numFmtId="0" fontId="4" fillId="6" borderId="7" xfId="5" applyBorder="1" applyProtection="1"/>
    <xf numFmtId="0" fontId="4" fillId="6" borderId="0" xfId="5" applyBorder="1" applyProtection="1"/>
    <xf numFmtId="0" fontId="4" fillId="6" borderId="8" xfId="5" applyBorder="1" applyProtection="1"/>
    <xf numFmtId="0" fontId="4" fillId="0" borderId="0" xfId="0" applyFont="1" applyBorder="1" applyProtection="1">
      <protection locked="0" hidden="1"/>
    </xf>
    <xf numFmtId="164" fontId="0" fillId="4" borderId="0" xfId="0" applyNumberFormat="1" applyFont="1" applyFill="1" applyBorder="1" applyAlignment="1">
      <alignment horizontal="center"/>
    </xf>
    <xf numFmtId="0" fontId="0" fillId="0" borderId="17" xfId="0" applyBorder="1" applyProtection="1">
      <protection locked="0"/>
    </xf>
    <xf numFmtId="0" fontId="8" fillId="0" borderId="17" xfId="4" applyBorder="1" applyProtection="1">
      <protection locked="0"/>
    </xf>
    <xf numFmtId="0" fontId="2" fillId="0" borderId="18" xfId="1" applyBorder="1" applyAlignment="1" applyProtection="1">
      <alignment horizontal="center"/>
    </xf>
    <xf numFmtId="49" fontId="0" fillId="0" borderId="4" xfId="0" applyNumberFormat="1" applyBorder="1" applyAlignment="1" applyProtection="1">
      <alignment horizontal="left" vertical="top" wrapText="1"/>
      <protection locked="0"/>
    </xf>
    <xf numFmtId="49" fontId="0" fillId="0" borderId="5" xfId="0" applyNumberFormat="1" applyBorder="1" applyAlignment="1" applyProtection="1">
      <alignment horizontal="left" vertical="top" wrapText="1"/>
      <protection locked="0"/>
    </xf>
    <xf numFmtId="49" fontId="0" fillId="0" borderId="6" xfId="0" applyNumberFormat="1" applyBorder="1" applyAlignment="1" applyProtection="1">
      <alignment horizontal="left" vertical="top" wrapText="1"/>
      <protection locked="0"/>
    </xf>
    <xf numFmtId="49" fontId="0" fillId="0" borderId="7" xfId="0" applyNumberFormat="1" applyBorder="1" applyAlignment="1" applyProtection="1">
      <alignment horizontal="left" vertical="top" wrapText="1"/>
      <protection locked="0"/>
    </xf>
    <xf numFmtId="49" fontId="0" fillId="0" borderId="0" xfId="0" applyNumberFormat="1" applyBorder="1" applyAlignment="1" applyProtection="1">
      <alignment horizontal="left" vertical="top" wrapText="1"/>
      <protection locked="0"/>
    </xf>
    <xf numFmtId="49" fontId="0" fillId="0" borderId="8" xfId="0" applyNumberFormat="1" applyBorder="1" applyAlignment="1" applyProtection="1">
      <alignment horizontal="left" vertical="top" wrapText="1"/>
      <protection locked="0"/>
    </xf>
    <xf numFmtId="49" fontId="0" fillId="0" borderId="9" xfId="0" applyNumberFormat="1" applyBorder="1" applyAlignment="1" applyProtection="1">
      <alignment horizontal="left" vertical="top" wrapText="1"/>
      <protection locked="0"/>
    </xf>
    <xf numFmtId="49" fontId="0" fillId="0" borderId="10" xfId="0" applyNumberFormat="1" applyBorder="1" applyAlignment="1" applyProtection="1">
      <alignment horizontal="left" vertical="top" wrapText="1"/>
      <protection locked="0"/>
    </xf>
    <xf numFmtId="49" fontId="0" fillId="0" borderId="11" xfId="0" applyNumberFormat="1" applyBorder="1" applyAlignment="1" applyProtection="1">
      <alignment horizontal="left" vertical="top" wrapText="1"/>
      <protection locked="0"/>
    </xf>
    <xf numFmtId="0" fontId="2" fillId="0" borderId="1" xfId="1" applyBorder="1" applyAlignment="1" applyProtection="1">
      <alignment horizontal="center"/>
    </xf>
  </cellXfs>
  <cellStyles count="6">
    <cellStyle name="20% - Accent1" xfId="2" builtinId="30"/>
    <cellStyle name="Accent2" xfId="5" builtinId="33"/>
    <cellStyle name="Explanatory Text" xfId="4" builtinId="53"/>
    <cellStyle name="Heading 1" xfId="1" builtinId="16"/>
    <cellStyle name="Normal" xfId="0" builtinId="0"/>
    <cellStyle name="Output" xfId="3" builtinId="21"/>
  </cellStyles>
  <dxfs count="44">
    <dxf>
      <font>
        <color theme="9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;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;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5" dropStyle="combo" dx="22" fmlaLink="$R$11" fmlaRange="Records!$AL2:$AL2" noThreeD="1" sel="0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3</xdr:row>
          <xdr:rowOff>19050</xdr:rowOff>
        </xdr:from>
        <xdr:to>
          <xdr:col>16</xdr:col>
          <xdr:colOff>581025</xdr:colOff>
          <xdr:row>4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New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5</xdr:row>
          <xdr:rowOff>19050</xdr:rowOff>
        </xdr:from>
        <xdr:to>
          <xdr:col>16</xdr:col>
          <xdr:colOff>571500</xdr:colOff>
          <xdr:row>6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</xdr:colOff>
          <xdr:row>7</xdr:row>
          <xdr:rowOff>38100</xdr:rowOff>
        </xdr:from>
        <xdr:to>
          <xdr:col>16</xdr:col>
          <xdr:colOff>561975</xdr:colOff>
          <xdr:row>8</xdr:row>
          <xdr:rowOff>171450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9</xdr:row>
          <xdr:rowOff>47625</xdr:rowOff>
        </xdr:from>
        <xdr:to>
          <xdr:col>18</xdr:col>
          <xdr:colOff>571500</xdr:colOff>
          <xdr:row>10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Selected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11</xdr:row>
          <xdr:rowOff>38100</xdr:rowOff>
        </xdr:from>
        <xdr:to>
          <xdr:col>18</xdr:col>
          <xdr:colOff>571500</xdr:colOff>
          <xdr:row>12</xdr:row>
          <xdr:rowOff>171450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13</xdr:row>
          <xdr:rowOff>19050</xdr:rowOff>
        </xdr:from>
        <xdr:to>
          <xdr:col>16</xdr:col>
          <xdr:colOff>571500</xdr:colOff>
          <xdr:row>14</xdr:row>
          <xdr:rowOff>152400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9</xdr:row>
          <xdr:rowOff>85725</xdr:rowOff>
        </xdr:from>
        <xdr:to>
          <xdr:col>16</xdr:col>
          <xdr:colOff>552450</xdr:colOff>
          <xdr:row>10</xdr:row>
          <xdr:rowOff>123825</xdr:rowOff>
        </xdr:to>
        <xdr:sp macro="" textlink="">
          <xdr:nvSpPr>
            <xdr:cNvPr id="4103" name="Drop Dow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20</xdr:row>
          <xdr:rowOff>19050</xdr:rowOff>
        </xdr:from>
        <xdr:to>
          <xdr:col>10</xdr:col>
          <xdr:colOff>142875</xdr:colOff>
          <xdr:row>20</xdr:row>
          <xdr:rowOff>200025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16</xdr:row>
          <xdr:rowOff>9525</xdr:rowOff>
        </xdr:from>
        <xdr:to>
          <xdr:col>5</xdr:col>
          <xdr:colOff>161925</xdr:colOff>
          <xdr:row>17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Calendar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27751B2-6EF9-4CFC-970F-5F82ED35B7CD}" name="Data" displayName="Data" ref="A1:AM2" insertRow="1" totalsRowShown="0" headerRowDxfId="43" dataDxfId="42" tableBorderDxfId="41">
  <autoFilter ref="A1:AM2" xr:uid="{65C870A5-3773-4189-8F11-ECB7B1178A72}"/>
  <tableColumns count="39">
    <tableColumn id="1" xr3:uid="{89276145-5DB6-45E7-9C91-A32695471679}" name="Record_ID" dataDxfId="40"/>
    <tableColumn id="2" xr3:uid="{5C258218-7C2A-4B33-BC43-5E947048236A}" name="Mine_Country" dataDxfId="39"/>
    <tableColumn id="3" xr3:uid="{8264D089-2D80-40D7-94E9-A4F8F7BAD8EB}" name="Mine_Company" dataDxfId="38"/>
    <tableColumn id="4" xr3:uid="{62F778C2-F791-46FE-A46F-481B79F7FDAC}" name="Mine_Name" dataDxfId="37"/>
    <tableColumn id="34" xr3:uid="{E7ADE69C-9A17-4E92-9ECE-16527DC5E5C8}" name="Recording_Engineer" dataDxfId="36"/>
    <tableColumn id="5" xr3:uid="{D5C7CA19-38DD-45A9-8071-A7AACADA4151}" name="Rig_Model" dataDxfId="35"/>
    <tableColumn id="6" xr3:uid="{A1F6FEBB-AEAB-4998-97D7-57BE834D0BAF}" name="Rig_Manufacturer" dataDxfId="34"/>
    <tableColumn id="7" xr3:uid="{5E5D26D4-306F-4850-8C94-78EDB1D5E15B}" name="Rig_ID" dataDxfId="33"/>
    <tableColumn id="8" xr3:uid="{2769B9B5-EF30-4D66-8788-3B3B5CDD6931}" name="Drill_Type" dataDxfId="32"/>
    <tableColumn id="9" xr3:uid="{BB76EB50-7C49-441A-981B-8E358B862548}" name="MWD_Type" dataDxfId="31"/>
    <tableColumn id="10" xr3:uid="{D7962DEE-235C-4878-81D6-E8476B58FA47}" name="Bit_Type" dataDxfId="30"/>
    <tableColumn id="38" xr3:uid="{A3DAF5AE-6D29-4037-BCAA-498416D6C8C2}" name="Bit_Model" dataDxfId="29"/>
    <tableColumn id="35" xr3:uid="{533F27E1-AE6A-4E2F-9C29-BE0CB457A429}" name="Bit_Size" dataDxfId="28"/>
    <tableColumn id="11" xr3:uid="{0ED4DF33-5A2E-4BBE-9162-7EB2AC3D30B7}" name="Bit_Date" dataDxfId="27"/>
    <tableColumn id="12" xr3:uid="{3CBD860C-5A58-4410-A8C0-8F7EF4A6D222}" name="DS_Total_Length" dataDxfId="26"/>
    <tableColumn id="39" xr3:uid="{9598D182-4662-4268-97B7-D88F33974685}" name="DS_Steel_OD" dataDxfId="25"/>
    <tableColumn id="13" xr3:uid="{D21B709F-A4FE-49B2-846A-0746EEDB9907}" name="DS_Component1" dataDxfId="24"/>
    <tableColumn id="14" xr3:uid="{6238717F-28F0-4A09-9769-07A21B450823}" name="DS_Component2" dataDxfId="23"/>
    <tableColumn id="15" xr3:uid="{71086000-C381-40B5-AF08-D4242644ABAB}" name="DS_Component3" dataDxfId="22"/>
    <tableColumn id="16" xr3:uid="{A26AEA87-E1A3-44CB-87ED-5B55B13D77AF}" name="DS_Component4" dataDxfId="21"/>
    <tableColumn id="17" xr3:uid="{B2432E21-A084-4478-93B9-437CD579C581}" name="DS_Component5" dataDxfId="20"/>
    <tableColumn id="18" xr3:uid="{793FCBDB-1066-436E-8345-1E4B53CF94B9}" name="DS_Component6" dataDxfId="19"/>
    <tableColumn id="19" xr3:uid="{950CD36E-29B0-4753-B3D8-99F6FB1924C2}" name="DS_Component7" dataDxfId="18"/>
    <tableColumn id="20" xr3:uid="{DB15A9B6-9B5E-4C3D-8672-A13148FF4523}" name="DS_Component8" dataDxfId="17"/>
    <tableColumn id="21" xr3:uid="{C20BAFCB-AE7D-475A-A2E4-DAFF2617B059}" name="DS_Component9" dataDxfId="16"/>
    <tableColumn id="22" xr3:uid="{F7D8C470-1BDB-404F-8A69-413CBD699648}" name="DS_Component10" dataDxfId="15"/>
    <tableColumn id="23" xr3:uid="{EDFD9386-F94F-405A-8F89-89D05EBCC271}" name="Sensor_Type" dataDxfId="14"/>
    <tableColumn id="24" xr3:uid="{2EA5572D-79A3-4D94-8726-67797E3F73A6}" name="Serial_Number" dataDxfId="13"/>
    <tableColumn id="25" xr3:uid="{FFE460CC-D4D9-4678-9C55-85E10DC98DD8}" name="Position" dataDxfId="12"/>
    <tableColumn id="36" xr3:uid="{FB7F64A7-985B-4EB2-ABF0-89F0875134D9}" name="Installation_Diameter" dataDxfId="11"/>
    <tableColumn id="26" xr3:uid="{FAA1D54F-EC46-4867-A325-17052E9193AD}" name="Piezo_Sampling_Rate" dataDxfId="10"/>
    <tableColumn id="27" xr3:uid="{599AB324-8DBB-4DCA-BD95-69E40BE9089F}" name="Piezo_Max_G" dataDxfId="9"/>
    <tableColumn id="28" xr3:uid="{A5C8D95B-546E-4667-BF92-E651F76D7E43}" name="MEMS_Sampling_Rate" dataDxfId="8"/>
    <tableColumn id="29" xr3:uid="{3B2B0ED1-B601-4043-90F1-FC0177149404}" name="MEMS_Max_G" dataDxfId="7"/>
    <tableColumn id="30" xr3:uid="{975F66E3-A2EA-43BA-AE77-98F339CB3148}" name="Axial_Axis" dataDxfId="6"/>
    <tableColumn id="31" xr3:uid="{EC8F801F-2325-4F00-883A-FB45374A9087}" name="Tangential_Axis" dataDxfId="5"/>
    <tableColumn id="32" xr3:uid="{AD910998-8BF2-48B4-882B-2B2A4DFFBB8B}" name="Recording_Date" dataDxfId="4"/>
    <tableColumn id="33" xr3:uid="{AEACF1C8-09CB-4C17-A5E4-19CBEBAC3660}" name="Filename" dataDxfId="3"/>
    <tableColumn id="37" xr3:uid="{3F74F760-869A-404D-B0C8-542559D44794}" name="Comments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12B238-3E75-4F5E-9FAB-D7877BC71163}" name="DSComponentPresence" displayName="DSComponentPresence" ref="A1:B4" totalsRowShown="0">
  <autoFilter ref="A1:B4" xr:uid="{D007771B-C942-4282-A575-7D3DA758F455}"/>
  <tableColumns count="2">
    <tableColumn id="1" xr3:uid="{1BD92E34-2347-4B94-9B69-00D15063C6B1}" name="DS Component Values"/>
    <tableColumn id="2" xr3:uid="{8F589D4A-7F35-4052-A3F0-08269B1194C4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9AB15E-26EA-4909-AD9E-A23FDE357BF1}" name="SensorType" displayName="SensorType" ref="D1:E3" totalsRowShown="0">
  <autoFilter ref="D1:E3" xr:uid="{0058275C-7FB3-4DBC-8410-38EA0EA7DABD}"/>
  <tableColumns count="2">
    <tableColumn id="1" xr3:uid="{8E8578EF-8F75-41AE-BE86-37E7B2E0FBEC}" name="Sensor Type"/>
    <tableColumn id="2" xr3:uid="{0EEB3BAB-B434-4506-B905-BDCCAF32383F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9A725D-C9D5-438C-805D-0B14CF7F4B1B}" name="MeasurementAxis" displayName="MeasurementAxis" ref="G1:H4" totalsRowShown="0">
  <autoFilter ref="G1:H4" xr:uid="{BC1E7CE8-5F59-4E62-8B59-9F5E1303EA16}"/>
  <tableColumns count="2">
    <tableColumn id="1" xr3:uid="{63C060FB-9BD6-4F70-B025-651E4A555FFF}" name="Axis"/>
    <tableColumn id="2" xr3:uid="{FE884941-1956-4C47-9C55-0339CCA60E0E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7A12EB-12D0-4A90-BB9E-5A5092A22BEB}" name="MWDType" displayName="MWDType" ref="N1:O3" totalsRowShown="0">
  <autoFilter ref="N1:O3" xr:uid="{F0833B2D-B588-4712-A6FC-A31048920884}"/>
  <tableColumns count="2">
    <tableColumn id="1" xr3:uid="{107BC0EE-8E13-42C7-9AF1-6C9EC87B5CBD}" name="MWD Type"/>
    <tableColumn id="2" xr3:uid="{CF001D1B-2977-4EFD-A121-4CEA83BA7148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1B75FA-E924-4596-BC1E-26004F81B73A}" name="DrillType" displayName="DrillType" ref="Q1:R6" totalsRowShown="0">
  <autoFilter ref="Q1:R6" xr:uid="{DFC18C08-3546-4E24-81C6-C8F74D0AE3D2}"/>
  <tableColumns count="2">
    <tableColumn id="1" xr3:uid="{38511A1C-FD40-4A05-B009-DD9B0AB2FEF6}" name="Drill Type"/>
    <tableColumn id="2" xr3:uid="{866FF3E0-BF39-4348-85B0-74DAB809F643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3D40F28-BC7C-44C8-8ACA-7527767583D1}" name="Recording_Engineer" displayName="Recording_Engineer" ref="J1:J3" totalsRowShown="0">
  <autoFilter ref="J1:J3" xr:uid="{B2DA3381-0F65-4FA2-97A6-A78C347C4D29}"/>
  <tableColumns count="1">
    <tableColumn id="1" xr3:uid="{25C150AD-55C3-4881-A079-DE4A3468B8B6}" name="Engineer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41D35EC-823C-432C-9647-1D2B1CC60729}" name="Country" displayName="Country" ref="L1:L7" totalsRowShown="0">
  <autoFilter ref="L1:L7" xr:uid="{BBB1E3B4-F97E-474E-A3BF-13073BC1AAFD}"/>
  <tableColumns count="1">
    <tableColumn id="1" xr3:uid="{241015F7-5AB6-4F24-B1FB-B23D5536B22E}" name="Country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F768D3B-3C97-4782-91D8-BE1BAB03961E}" name="AccelerometerRange" displayName="AccelerometerRange" ref="T1:T5" totalsRowShown="0">
  <autoFilter ref="T1:T5" xr:uid="{F7017C97-9C2D-4818-B03A-A779F9A3C612}"/>
  <tableColumns count="1">
    <tableColumn id="1" xr3:uid="{B6067EF5-DD63-4901-9332-D16B7E298187}" name="Max G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1AC4442-9A53-4F67-AF77-A2AFFDB134B6}" name="BitType" displayName="BitType" ref="V1:W2" totalsRowShown="0">
  <autoFilter ref="V1:W2" xr:uid="{3ACB5C33-0D33-4FD1-8A52-F5350FAD4DA4}"/>
  <tableColumns count="2">
    <tableColumn id="1" xr3:uid="{7991AF9D-7D40-4E59-8A1C-9C0CDFB73521}" name="DrillbitType"/>
    <tableColumn id="2" xr3:uid="{CAADC8E1-CD49-4842-9211-2049755A0B0C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B3C2685-953B-4FC8-BD37-C94102EFAAF5}" name="Units" displayName="Units" ref="Y1:Y5" totalsRowShown="0">
  <autoFilter ref="Y1:Y5" xr:uid="{9BFE2805-23B7-49A7-8D64-833779AAC64C}"/>
  <tableColumns count="1">
    <tableColumn id="1" xr3:uid="{F1E86223-34F1-47D1-AA1A-F5B41D91052C}" name="Uni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22795-4017-4C80-A565-62E9FC44640D}">
  <sheetPr codeName="Sheet3"/>
  <dimension ref="B1:W45"/>
  <sheetViews>
    <sheetView showGridLines="0" tabSelected="1" workbookViewId="0">
      <selection activeCell="D3" sqref="D3"/>
    </sheetView>
  </sheetViews>
  <sheetFormatPr defaultRowHeight="15" x14ac:dyDescent="0.25"/>
  <cols>
    <col min="1" max="2" width="9.140625" style="25"/>
    <col min="3" max="3" width="22" style="25" customWidth="1"/>
    <col min="4" max="4" width="21.28515625" style="25" customWidth="1"/>
    <col min="5" max="6" width="5.7109375" style="25" customWidth="1"/>
    <col min="7" max="7" width="9.140625" style="25"/>
    <col min="8" max="8" width="13.42578125" style="25" bestFit="1" customWidth="1"/>
    <col min="9" max="9" width="21.28515625" style="25" customWidth="1"/>
    <col min="10" max="12" width="5.7109375" style="25" customWidth="1"/>
    <col min="13" max="13" width="8.5703125" style="25" bestFit="1" customWidth="1"/>
    <col min="14" max="16384" width="9.140625" style="25"/>
  </cols>
  <sheetData>
    <row r="1" spans="2:20" ht="15.75" thickBot="1" x14ac:dyDescent="0.3"/>
    <row r="2" spans="2:20" ht="20.25" thickBot="1" x14ac:dyDescent="0.35">
      <c r="B2" s="26"/>
      <c r="C2" s="72" t="s">
        <v>0</v>
      </c>
      <c r="D2" s="72"/>
      <c r="E2" s="72"/>
      <c r="F2" s="72"/>
      <c r="G2" s="27"/>
      <c r="H2" s="72" t="s">
        <v>11</v>
      </c>
      <c r="I2" s="72"/>
      <c r="J2" s="72"/>
      <c r="K2" s="72"/>
      <c r="L2" s="56"/>
      <c r="M2" s="56"/>
      <c r="N2" s="28"/>
      <c r="P2" s="26" t="s">
        <v>47</v>
      </c>
      <c r="Q2" s="27">
        <v>1</v>
      </c>
      <c r="R2" s="29" t="b">
        <v>0</v>
      </c>
      <c r="S2" s="28"/>
      <c r="T2" s="30" t="s">
        <v>52</v>
      </c>
    </row>
    <row r="3" spans="2:20" ht="15.75" thickTop="1" x14ac:dyDescent="0.25">
      <c r="B3" s="31"/>
      <c r="C3" s="32" t="s">
        <v>2</v>
      </c>
      <c r="D3" s="19"/>
      <c r="E3" s="33"/>
      <c r="F3" s="33"/>
      <c r="G3" s="30"/>
      <c r="H3" s="34" t="s">
        <v>44</v>
      </c>
      <c r="I3" s="63">
        <f>IF(SUM(Component_Lengths)=0,DS_Total_Length_Aux,SUM(N5:N14))</f>
        <v>0</v>
      </c>
      <c r="J3" s="35" t="s">
        <v>83</v>
      </c>
      <c r="K3" s="64">
        <v>0</v>
      </c>
      <c r="L3" s="30"/>
      <c r="M3" s="30"/>
      <c r="N3" s="37"/>
      <c r="P3" s="31"/>
      <c r="Q3" s="30"/>
      <c r="R3" s="30"/>
      <c r="S3" s="37"/>
      <c r="T3" s="30" t="s">
        <v>53</v>
      </c>
    </row>
    <row r="4" spans="2:20" x14ac:dyDescent="0.25">
      <c r="B4" s="31"/>
      <c r="C4" s="38" t="s">
        <v>3</v>
      </c>
      <c r="D4" s="20"/>
      <c r="E4" s="36"/>
      <c r="F4" s="36"/>
      <c r="G4" s="30"/>
      <c r="H4" s="43" t="s">
        <v>124</v>
      </c>
      <c r="I4" s="24"/>
      <c r="J4" s="35" t="s">
        <v>94</v>
      </c>
      <c r="K4" s="36"/>
      <c r="N4" s="37"/>
      <c r="P4" s="31"/>
      <c r="Q4" s="30"/>
      <c r="R4" s="30"/>
      <c r="S4" s="37"/>
    </row>
    <row r="5" spans="2:20" x14ac:dyDescent="0.25">
      <c r="B5" s="31"/>
      <c r="C5" s="39" t="s">
        <v>82</v>
      </c>
      <c r="D5" s="20"/>
      <c r="E5" s="36"/>
      <c r="F5" s="36"/>
      <c r="G5" s="30"/>
      <c r="H5" s="34" t="s">
        <v>12</v>
      </c>
      <c r="I5" s="20" t="s">
        <v>88</v>
      </c>
      <c r="J5" s="70">
        <v>0</v>
      </c>
      <c r="K5" s="71" t="s">
        <v>83</v>
      </c>
      <c r="L5" s="59">
        <f>VLOOKUP(DS_C1_Selection,DSComponentPresence[#All],2,FALSE)</f>
        <v>1</v>
      </c>
      <c r="M5" s="60" t="s">
        <v>81</v>
      </c>
      <c r="N5" s="62">
        <f>IF(DS_C1&gt;=0,CONVERT(J5,K5,"m"),0)</f>
        <v>0</v>
      </c>
      <c r="P5" s="31"/>
      <c r="Q5" s="30"/>
      <c r="R5" s="30"/>
      <c r="S5" s="37"/>
    </row>
    <row r="6" spans="2:20" x14ac:dyDescent="0.25">
      <c r="B6" s="31"/>
      <c r="C6" s="40" t="s">
        <v>96</v>
      </c>
      <c r="D6" s="21"/>
      <c r="E6" s="41"/>
      <c r="F6" s="41"/>
      <c r="G6" s="30"/>
      <c r="H6" s="34" t="s">
        <v>13</v>
      </c>
      <c r="I6" s="20" t="s">
        <v>88</v>
      </c>
      <c r="J6" s="70">
        <v>0</v>
      </c>
      <c r="K6" s="71" t="s">
        <v>83</v>
      </c>
      <c r="L6" s="59">
        <f>VLOOKUP(DS_C2_Selection,DSComponentPresence[#All],2,FALSE)</f>
        <v>1</v>
      </c>
      <c r="M6" s="60" t="s">
        <v>80</v>
      </c>
      <c r="N6" s="62">
        <f>IF(DS_C2&gt;=0,CONVERT(J6,K6,"m"),0)</f>
        <v>0</v>
      </c>
      <c r="P6" s="31"/>
      <c r="Q6" s="30"/>
      <c r="R6" s="30"/>
      <c r="S6" s="37"/>
    </row>
    <row r="7" spans="2:20" x14ac:dyDescent="0.25">
      <c r="B7" s="31"/>
      <c r="C7" s="30"/>
      <c r="D7" s="30"/>
      <c r="E7" s="30"/>
      <c r="F7" s="30"/>
      <c r="G7" s="30"/>
      <c r="H7" s="34" t="s">
        <v>14</v>
      </c>
      <c r="I7" s="20" t="s">
        <v>88</v>
      </c>
      <c r="J7" s="70">
        <v>0</v>
      </c>
      <c r="K7" s="71" t="s">
        <v>83</v>
      </c>
      <c r="L7" s="59">
        <f>VLOOKUP(DS_C3_Selection,DSComponentPresence[#All],2,FALSE)</f>
        <v>1</v>
      </c>
      <c r="M7" s="60" t="s">
        <v>79</v>
      </c>
      <c r="N7" s="62">
        <f>IF(DS_C3&gt;=0,CONVERT(J7,K7,"m"),0)</f>
        <v>0</v>
      </c>
      <c r="P7" s="31"/>
      <c r="Q7" s="30"/>
      <c r="R7" s="30"/>
      <c r="S7" s="37"/>
    </row>
    <row r="8" spans="2:20" ht="20.25" thickBot="1" x14ac:dyDescent="0.35">
      <c r="B8" s="31"/>
      <c r="C8" s="82" t="s">
        <v>4</v>
      </c>
      <c r="D8" s="82"/>
      <c r="E8" s="82"/>
      <c r="F8" s="82"/>
      <c r="G8" s="30"/>
      <c r="H8" s="34" t="s">
        <v>15</v>
      </c>
      <c r="I8" s="20" t="s">
        <v>88</v>
      </c>
      <c r="J8" s="70">
        <v>0</v>
      </c>
      <c r="K8" s="71" t="s">
        <v>83</v>
      </c>
      <c r="L8" s="59">
        <f>VLOOKUP(DS_C4_Selection,DSComponentPresence[#All],2,FALSE)</f>
        <v>1</v>
      </c>
      <c r="M8" s="60" t="s">
        <v>79</v>
      </c>
      <c r="N8" s="62">
        <f>IF(DS_C4&gt;=0,CONVERT(J8,K8,"m"),0)</f>
        <v>0</v>
      </c>
      <c r="P8" s="31"/>
      <c r="Q8" s="30"/>
      <c r="R8" s="30"/>
      <c r="S8" s="37"/>
    </row>
    <row r="9" spans="2:20" ht="15.75" thickTop="1" x14ac:dyDescent="0.25">
      <c r="B9" s="31"/>
      <c r="C9" s="34" t="s">
        <v>50</v>
      </c>
      <c r="D9" s="19"/>
      <c r="E9" s="33"/>
      <c r="F9" s="33"/>
      <c r="G9" s="30"/>
      <c r="H9" s="34" t="s">
        <v>16</v>
      </c>
      <c r="I9" s="20" t="s">
        <v>88</v>
      </c>
      <c r="J9" s="70">
        <v>0</v>
      </c>
      <c r="K9" s="71" t="s">
        <v>83</v>
      </c>
      <c r="L9" s="59">
        <f>VLOOKUP(DS_C5_Selection,DSComponentPresence[#All],2,FALSE)</f>
        <v>1</v>
      </c>
      <c r="M9" s="60" t="s">
        <v>78</v>
      </c>
      <c r="N9" s="62">
        <f>IF(DS_C5&gt;=0,CONVERT(J9,K9,"m"),0)</f>
        <v>0</v>
      </c>
      <c r="P9" s="31"/>
      <c r="Q9" s="30"/>
      <c r="R9" s="30"/>
      <c r="S9" s="37"/>
    </row>
    <row r="10" spans="2:20" x14ac:dyDescent="0.25">
      <c r="B10" s="31"/>
      <c r="C10" s="34" t="s">
        <v>6</v>
      </c>
      <c r="D10" s="20"/>
      <c r="E10" s="36"/>
      <c r="F10" s="36"/>
      <c r="G10" s="30"/>
      <c r="H10" s="34" t="s">
        <v>17</v>
      </c>
      <c r="I10" s="20" t="s">
        <v>88</v>
      </c>
      <c r="J10" s="70">
        <v>0</v>
      </c>
      <c r="K10" s="71" t="s">
        <v>83</v>
      </c>
      <c r="L10" s="59">
        <f>VLOOKUP(DS_C6_Selection,DSComponentPresence[#All],2,FALSE)</f>
        <v>1</v>
      </c>
      <c r="M10" s="60" t="s">
        <v>77</v>
      </c>
      <c r="N10" s="62">
        <f>IF(DS_C6&gt;=0,CONVERT(J10,K10,"m"),0)</f>
        <v>0</v>
      </c>
      <c r="P10" s="31"/>
      <c r="Q10" s="30"/>
      <c r="R10" s="30"/>
      <c r="S10" s="37"/>
    </row>
    <row r="11" spans="2:20" x14ac:dyDescent="0.25">
      <c r="B11" s="31"/>
      <c r="C11" s="34" t="s">
        <v>7</v>
      </c>
      <c r="D11" s="20"/>
      <c r="E11" s="36"/>
      <c r="F11" s="36"/>
      <c r="G11" s="30"/>
      <c r="H11" s="34" t="s">
        <v>18</v>
      </c>
      <c r="I11" s="20" t="s">
        <v>90</v>
      </c>
      <c r="J11" s="70">
        <v>0</v>
      </c>
      <c r="K11" s="71" t="s">
        <v>83</v>
      </c>
      <c r="L11" s="59">
        <f>VLOOKUP(DS_C7_Selection,DSComponentPresence[#All],2,FALSE)</f>
        <v>-1</v>
      </c>
      <c r="M11" s="61"/>
      <c r="N11" s="62">
        <f>IF(DS_C7&gt;=0,CONVERT(J11,K11,"m"),0)</f>
        <v>0</v>
      </c>
      <c r="P11" s="31"/>
      <c r="Q11" s="30"/>
      <c r="R11" s="68">
        <v>0</v>
      </c>
      <c r="S11" s="37"/>
    </row>
    <row r="12" spans="2:20" x14ac:dyDescent="0.25">
      <c r="B12" s="31"/>
      <c r="C12" s="34" t="s">
        <v>43</v>
      </c>
      <c r="D12" s="20"/>
      <c r="E12" s="58" t="e">
        <f>VLOOKUP(D12,DrillType[#All],2,FALSE)</f>
        <v>#N/A</v>
      </c>
      <c r="F12" s="36"/>
      <c r="G12" s="30"/>
      <c r="H12" s="34" t="s">
        <v>19</v>
      </c>
      <c r="I12" s="20" t="s">
        <v>90</v>
      </c>
      <c r="J12" s="70">
        <v>0</v>
      </c>
      <c r="K12" s="71" t="s">
        <v>83</v>
      </c>
      <c r="L12" s="59">
        <f>VLOOKUP(DS_C8_Selection,DSComponentPresence[#All],2,FALSE)</f>
        <v>-1</v>
      </c>
      <c r="M12" s="61"/>
      <c r="N12" s="62">
        <f>IF(DS_C8&gt;=0,CONVERT(J12,K12,"m"),0)</f>
        <v>0</v>
      </c>
      <c r="P12" s="31"/>
      <c r="Q12" s="30"/>
      <c r="R12" s="30"/>
      <c r="S12" s="37"/>
    </row>
    <row r="13" spans="2:20" x14ac:dyDescent="0.25">
      <c r="B13" s="31"/>
      <c r="C13" s="34" t="s">
        <v>8</v>
      </c>
      <c r="D13" s="20"/>
      <c r="E13" s="58" t="e">
        <f>VLOOKUP(D13,MWDType[#All],2,FALSE)</f>
        <v>#N/A</v>
      </c>
      <c r="F13" s="36"/>
      <c r="G13" s="30"/>
      <c r="H13" s="34" t="s">
        <v>20</v>
      </c>
      <c r="I13" s="20" t="s">
        <v>90</v>
      </c>
      <c r="J13" s="70">
        <v>0</v>
      </c>
      <c r="K13" s="71" t="s">
        <v>83</v>
      </c>
      <c r="L13" s="59">
        <f>VLOOKUP(DS_C9_Selection,DSComponentPresence[#All],2,FALSE)</f>
        <v>-1</v>
      </c>
      <c r="M13" s="61"/>
      <c r="N13" s="62">
        <f>IF(DS_C9&gt;=0,CONVERT(J13,K13,"m"),0)</f>
        <v>0</v>
      </c>
      <c r="P13" s="31"/>
      <c r="Q13" s="30"/>
      <c r="R13" s="42" t="b">
        <f>IF(File_to_load=Record_ID,TRUE,FALSE)</f>
        <v>0</v>
      </c>
      <c r="S13" s="37"/>
    </row>
    <row r="14" spans="2:20" x14ac:dyDescent="0.25">
      <c r="B14" s="31"/>
      <c r="C14" s="34" t="s">
        <v>9</v>
      </c>
      <c r="D14" s="20"/>
      <c r="E14" s="58" t="e">
        <f>VLOOKUP(D14,BitType[#All],2,FALSE)</f>
        <v>#N/A</v>
      </c>
      <c r="F14" s="36"/>
      <c r="G14" s="30"/>
      <c r="H14" s="34" t="s">
        <v>21</v>
      </c>
      <c r="I14" s="20" t="s">
        <v>90</v>
      </c>
      <c r="J14" s="70">
        <v>0</v>
      </c>
      <c r="K14" s="71" t="s">
        <v>83</v>
      </c>
      <c r="L14" s="59">
        <f>VLOOKUP(DS_C10_Selection,DSComponentPresence[#All],2,FALSE)</f>
        <v>-1</v>
      </c>
      <c r="M14" s="61"/>
      <c r="N14" s="62">
        <f>IF(DS_C10&gt;=0,CONVERT(J14,K14,"m"),0)</f>
        <v>0</v>
      </c>
      <c r="P14" s="31"/>
      <c r="Q14" s="30"/>
      <c r="R14" s="30"/>
      <c r="S14" s="37"/>
    </row>
    <row r="15" spans="2:20" ht="15.75" thickBot="1" x14ac:dyDescent="0.3">
      <c r="B15" s="31"/>
      <c r="C15" s="43" t="s">
        <v>119</v>
      </c>
      <c r="D15" s="20"/>
      <c r="E15" s="36"/>
      <c r="F15" s="36"/>
      <c r="G15" s="30"/>
      <c r="H15" s="30"/>
      <c r="I15" s="30"/>
      <c r="J15" s="30"/>
      <c r="K15" s="30"/>
      <c r="L15" s="30"/>
      <c r="M15" s="30"/>
      <c r="N15" s="37"/>
      <c r="P15" s="44"/>
      <c r="Q15" s="45"/>
      <c r="R15" s="45"/>
      <c r="S15" s="46"/>
    </row>
    <row r="16" spans="2:20" x14ac:dyDescent="0.25">
      <c r="B16" s="31"/>
      <c r="C16" s="43" t="s">
        <v>93</v>
      </c>
      <c r="D16" s="22"/>
      <c r="E16" s="35" t="s">
        <v>94</v>
      </c>
      <c r="F16" s="36"/>
      <c r="G16" s="30"/>
      <c r="H16" s="30"/>
      <c r="I16" s="30"/>
      <c r="J16" s="30"/>
      <c r="K16" s="30"/>
      <c r="L16" s="30"/>
      <c r="M16" s="30"/>
      <c r="N16" s="37"/>
    </row>
    <row r="17" spans="2:23" ht="15.75" thickBot="1" x14ac:dyDescent="0.3">
      <c r="B17" s="31"/>
      <c r="C17" s="34" t="s">
        <v>10</v>
      </c>
      <c r="D17" s="47">
        <v>25569</v>
      </c>
      <c r="E17" s="36"/>
      <c r="F17" s="36"/>
      <c r="G17" s="30"/>
      <c r="H17" s="30"/>
      <c r="I17" s="30"/>
      <c r="J17" s="30"/>
      <c r="K17" s="30"/>
      <c r="L17" s="30"/>
      <c r="M17" s="30"/>
      <c r="N17" s="37"/>
    </row>
    <row r="18" spans="2:23" x14ac:dyDescent="0.25">
      <c r="B18" s="31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7"/>
      <c r="P18" s="48" t="s">
        <v>128</v>
      </c>
      <c r="Q18" s="49"/>
      <c r="R18" s="49"/>
      <c r="S18" s="49"/>
      <c r="T18" s="49"/>
      <c r="U18" s="49"/>
      <c r="V18" s="49"/>
      <c r="W18" s="50"/>
    </row>
    <row r="19" spans="2:23" x14ac:dyDescent="0.25">
      <c r="B19" s="31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7"/>
      <c r="P19" s="65" t="s">
        <v>129</v>
      </c>
      <c r="Q19" s="66"/>
      <c r="R19" s="66"/>
      <c r="S19" s="66"/>
      <c r="T19" s="66"/>
      <c r="U19" s="66"/>
      <c r="V19" s="66"/>
      <c r="W19" s="67"/>
    </row>
    <row r="20" spans="2:23" ht="20.25" thickBot="1" x14ac:dyDescent="0.35">
      <c r="B20" s="31"/>
      <c r="C20" s="82" t="s">
        <v>22</v>
      </c>
      <c r="D20" s="82"/>
      <c r="E20" s="82"/>
      <c r="F20" s="82"/>
      <c r="G20" s="30"/>
      <c r="H20" s="82" t="s">
        <v>30</v>
      </c>
      <c r="I20" s="82"/>
      <c r="J20" s="82"/>
      <c r="K20" s="82"/>
      <c r="L20" s="57"/>
      <c r="M20" s="57"/>
      <c r="N20" s="37"/>
      <c r="P20" s="65" t="s">
        <v>130</v>
      </c>
      <c r="Q20" s="66"/>
      <c r="R20" s="66"/>
      <c r="S20" s="66"/>
      <c r="T20" s="66"/>
      <c r="U20" s="66"/>
      <c r="V20" s="66"/>
      <c r="W20" s="67"/>
    </row>
    <row r="21" spans="2:23" ht="15.75" thickTop="1" x14ac:dyDescent="0.25">
      <c r="B21" s="31"/>
      <c r="C21" s="34" t="s">
        <v>5</v>
      </c>
      <c r="D21" s="20"/>
      <c r="E21" s="58" t="e">
        <f>VLOOKUP(D21,SensorType[#All],2,FALSE)</f>
        <v>#N/A</v>
      </c>
      <c r="F21" s="36"/>
      <c r="G21" s="30"/>
      <c r="H21" s="34" t="s">
        <v>29</v>
      </c>
      <c r="I21" s="54">
        <v>43263</v>
      </c>
      <c r="J21" s="33"/>
      <c r="K21" s="33"/>
      <c r="L21" s="30"/>
      <c r="M21" s="30"/>
      <c r="N21" s="37"/>
      <c r="P21" s="65" t="s">
        <v>125</v>
      </c>
      <c r="Q21" s="66"/>
      <c r="R21" s="66"/>
      <c r="S21" s="66"/>
      <c r="T21" s="66"/>
      <c r="U21" s="66"/>
      <c r="V21" s="66"/>
      <c r="W21" s="67"/>
    </row>
    <row r="22" spans="2:23" x14ac:dyDescent="0.25">
      <c r="B22" s="31"/>
      <c r="C22" s="34" t="s">
        <v>23</v>
      </c>
      <c r="D22" s="20"/>
      <c r="E22" s="36"/>
      <c r="F22" s="36"/>
      <c r="G22" s="30"/>
      <c r="H22" s="34" t="s">
        <v>1</v>
      </c>
      <c r="I22" s="21"/>
      <c r="J22" s="41"/>
      <c r="K22" s="41"/>
      <c r="L22" s="30"/>
      <c r="M22" s="30"/>
      <c r="N22" s="37"/>
      <c r="P22" s="65" t="s">
        <v>126</v>
      </c>
      <c r="Q22" s="66"/>
      <c r="R22" s="66"/>
      <c r="S22" s="66"/>
      <c r="T22" s="66"/>
      <c r="U22" s="66"/>
      <c r="V22" s="66"/>
      <c r="W22" s="67"/>
    </row>
    <row r="23" spans="2:23" ht="15.75" thickBot="1" x14ac:dyDescent="0.3">
      <c r="B23" s="31"/>
      <c r="C23" s="43" t="s">
        <v>24</v>
      </c>
      <c r="D23" s="22"/>
      <c r="E23" s="35" t="s">
        <v>83</v>
      </c>
      <c r="F23" s="36"/>
      <c r="G23" s="30"/>
      <c r="H23" s="30"/>
      <c r="I23" s="30"/>
      <c r="J23" s="30"/>
      <c r="K23" s="30"/>
      <c r="L23" s="30"/>
      <c r="M23" s="30"/>
      <c r="N23" s="37"/>
      <c r="P23" s="51" t="s">
        <v>127</v>
      </c>
      <c r="Q23" s="52"/>
      <c r="R23" s="52"/>
      <c r="S23" s="52"/>
      <c r="T23" s="52"/>
      <c r="U23" s="52"/>
      <c r="V23" s="52"/>
      <c r="W23" s="53"/>
    </row>
    <row r="24" spans="2:23" x14ac:dyDescent="0.25">
      <c r="B24" s="31"/>
      <c r="C24" s="43" t="s">
        <v>95</v>
      </c>
      <c r="D24" s="22"/>
      <c r="E24" s="35" t="s">
        <v>94</v>
      </c>
      <c r="F24" s="36"/>
      <c r="G24" s="30"/>
      <c r="H24" s="30"/>
      <c r="I24" s="30"/>
      <c r="J24" s="30"/>
      <c r="K24" s="30"/>
      <c r="L24" s="30"/>
      <c r="M24" s="30"/>
      <c r="N24" s="37"/>
    </row>
    <row r="25" spans="2:23" x14ac:dyDescent="0.25">
      <c r="B25" s="31"/>
      <c r="C25" s="34" t="s">
        <v>25</v>
      </c>
      <c r="D25" s="23"/>
      <c r="E25" s="35" t="s">
        <v>84</v>
      </c>
      <c r="F25" s="36"/>
      <c r="G25" s="30"/>
      <c r="H25" s="30"/>
      <c r="I25" s="30"/>
      <c r="J25" s="30"/>
      <c r="K25" s="30"/>
      <c r="L25" s="30"/>
      <c r="M25" s="30"/>
      <c r="N25" s="37"/>
    </row>
    <row r="26" spans="2:23" x14ac:dyDescent="0.25">
      <c r="B26" s="31"/>
      <c r="C26" s="34" t="s">
        <v>45</v>
      </c>
      <c r="D26" s="23"/>
      <c r="E26" s="35" t="s">
        <v>85</v>
      </c>
      <c r="F26" s="36"/>
      <c r="G26" s="30"/>
      <c r="H26" s="30"/>
      <c r="I26" s="30"/>
      <c r="J26" s="30"/>
      <c r="K26" s="30"/>
      <c r="L26" s="30"/>
      <c r="M26" s="30"/>
      <c r="N26" s="37"/>
    </row>
    <row r="27" spans="2:23" x14ac:dyDescent="0.25">
      <c r="B27" s="31"/>
      <c r="C27" s="34" t="s">
        <v>26</v>
      </c>
      <c r="D27" s="23"/>
      <c r="E27" s="35" t="s">
        <v>84</v>
      </c>
      <c r="F27" s="36"/>
      <c r="G27" s="30"/>
      <c r="H27" s="30"/>
      <c r="I27" s="30"/>
      <c r="J27" s="30"/>
      <c r="K27" s="30"/>
      <c r="L27" s="30"/>
      <c r="M27" s="30"/>
      <c r="N27" s="37"/>
    </row>
    <row r="28" spans="2:23" x14ac:dyDescent="0.25">
      <c r="B28" s="31"/>
      <c r="C28" s="34" t="s">
        <v>46</v>
      </c>
      <c r="D28" s="23"/>
      <c r="E28" s="35" t="s">
        <v>85</v>
      </c>
      <c r="F28" s="36"/>
      <c r="G28" s="30"/>
      <c r="H28" s="30"/>
      <c r="I28" s="30"/>
      <c r="J28" s="30"/>
      <c r="K28" s="30"/>
      <c r="L28" s="30"/>
      <c r="M28" s="30"/>
      <c r="N28" s="37"/>
    </row>
    <row r="29" spans="2:23" x14ac:dyDescent="0.25">
      <c r="B29" s="31"/>
      <c r="C29" s="34" t="s">
        <v>27</v>
      </c>
      <c r="D29" s="20"/>
      <c r="E29" s="58" t="e">
        <f>VLOOKUP(D29,MeasurementAxis[#All],2,FALSE)</f>
        <v>#N/A</v>
      </c>
      <c r="F29" s="36"/>
      <c r="G29" s="30"/>
      <c r="H29" s="30"/>
      <c r="I29" s="30"/>
      <c r="J29" s="30"/>
      <c r="K29" s="30"/>
      <c r="L29" s="30"/>
      <c r="M29" s="30"/>
      <c r="N29" s="37"/>
    </row>
    <row r="30" spans="2:23" x14ac:dyDescent="0.25">
      <c r="B30" s="31"/>
      <c r="C30" s="34" t="s">
        <v>28</v>
      </c>
      <c r="D30" s="20"/>
      <c r="E30" s="58" t="e">
        <f>VLOOKUP(D30,MeasurementAxis[#All],2,FALSE)</f>
        <v>#N/A</v>
      </c>
      <c r="F30" s="36"/>
      <c r="G30" s="30"/>
      <c r="H30" s="30"/>
      <c r="I30" s="30"/>
      <c r="J30" s="30"/>
      <c r="K30" s="30"/>
      <c r="L30" s="30"/>
      <c r="M30" s="30"/>
      <c r="N30" s="37"/>
    </row>
    <row r="31" spans="2:23" x14ac:dyDescent="0.25">
      <c r="B31" s="31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7"/>
    </row>
    <row r="32" spans="2:23" ht="15.75" thickBot="1" x14ac:dyDescent="0.3">
      <c r="B32" s="31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7"/>
    </row>
    <row r="33" spans="2:14" x14ac:dyDescent="0.25">
      <c r="B33" s="31"/>
      <c r="C33" s="34" t="s">
        <v>31</v>
      </c>
      <c r="D33" s="73"/>
      <c r="E33" s="74"/>
      <c r="F33" s="74"/>
      <c r="G33" s="74"/>
      <c r="H33" s="74"/>
      <c r="I33" s="74"/>
      <c r="J33" s="74"/>
      <c r="K33" s="75"/>
      <c r="L33" s="30"/>
      <c r="M33" s="30"/>
      <c r="N33" s="37"/>
    </row>
    <row r="34" spans="2:14" x14ac:dyDescent="0.25">
      <c r="B34" s="31"/>
      <c r="C34" s="30"/>
      <c r="D34" s="76"/>
      <c r="E34" s="77"/>
      <c r="F34" s="77"/>
      <c r="G34" s="77"/>
      <c r="H34" s="77"/>
      <c r="I34" s="77"/>
      <c r="J34" s="77"/>
      <c r="K34" s="78"/>
      <c r="L34" s="30"/>
      <c r="M34" s="30"/>
      <c r="N34" s="37"/>
    </row>
    <row r="35" spans="2:14" x14ac:dyDescent="0.25">
      <c r="B35" s="31"/>
      <c r="C35" s="30"/>
      <c r="D35" s="76"/>
      <c r="E35" s="77"/>
      <c r="F35" s="77"/>
      <c r="G35" s="77"/>
      <c r="H35" s="77"/>
      <c r="I35" s="77"/>
      <c r="J35" s="77"/>
      <c r="K35" s="78"/>
      <c r="L35" s="30"/>
      <c r="M35" s="30"/>
      <c r="N35" s="37"/>
    </row>
    <row r="36" spans="2:14" x14ac:dyDescent="0.25">
      <c r="B36" s="31"/>
      <c r="C36" s="30"/>
      <c r="D36" s="76"/>
      <c r="E36" s="77"/>
      <c r="F36" s="77"/>
      <c r="G36" s="77"/>
      <c r="H36" s="77"/>
      <c r="I36" s="77"/>
      <c r="J36" s="77"/>
      <c r="K36" s="78"/>
      <c r="L36" s="30"/>
      <c r="M36" s="30"/>
      <c r="N36" s="37"/>
    </row>
    <row r="37" spans="2:14" x14ac:dyDescent="0.25">
      <c r="B37" s="31"/>
      <c r="C37" s="30"/>
      <c r="D37" s="76"/>
      <c r="E37" s="77"/>
      <c r="F37" s="77"/>
      <c r="G37" s="77"/>
      <c r="H37" s="77"/>
      <c r="I37" s="77"/>
      <c r="J37" s="77"/>
      <c r="K37" s="78"/>
      <c r="L37" s="30"/>
      <c r="M37" s="30"/>
      <c r="N37" s="37"/>
    </row>
    <row r="38" spans="2:14" x14ac:dyDescent="0.25">
      <c r="B38" s="31"/>
      <c r="C38" s="30"/>
      <c r="D38" s="76"/>
      <c r="E38" s="77"/>
      <c r="F38" s="77"/>
      <c r="G38" s="77"/>
      <c r="H38" s="77"/>
      <c r="I38" s="77"/>
      <c r="J38" s="77"/>
      <c r="K38" s="78"/>
      <c r="L38" s="30"/>
      <c r="M38" s="30"/>
      <c r="N38" s="37"/>
    </row>
    <row r="39" spans="2:14" x14ac:dyDescent="0.25">
      <c r="B39" s="31"/>
      <c r="C39" s="30"/>
      <c r="D39" s="76"/>
      <c r="E39" s="77"/>
      <c r="F39" s="77"/>
      <c r="G39" s="77"/>
      <c r="H39" s="77"/>
      <c r="I39" s="77"/>
      <c r="J39" s="77"/>
      <c r="K39" s="78"/>
      <c r="L39" s="30"/>
      <c r="M39" s="30"/>
      <c r="N39" s="37"/>
    </row>
    <row r="40" spans="2:14" x14ac:dyDescent="0.25">
      <c r="B40" s="31"/>
      <c r="C40" s="30"/>
      <c r="D40" s="76"/>
      <c r="E40" s="77"/>
      <c r="F40" s="77"/>
      <c r="G40" s="77"/>
      <c r="H40" s="77"/>
      <c r="I40" s="77"/>
      <c r="J40" s="77"/>
      <c r="K40" s="78"/>
      <c r="L40" s="30"/>
      <c r="M40" s="30"/>
      <c r="N40" s="37"/>
    </row>
    <row r="41" spans="2:14" ht="15.75" thickBot="1" x14ac:dyDescent="0.3">
      <c r="B41" s="31"/>
      <c r="C41" s="30"/>
      <c r="D41" s="79"/>
      <c r="E41" s="80"/>
      <c r="F41" s="80"/>
      <c r="G41" s="80"/>
      <c r="H41" s="80"/>
      <c r="I41" s="80"/>
      <c r="J41" s="80"/>
      <c r="K41" s="81"/>
      <c r="L41" s="30"/>
      <c r="M41" s="30"/>
      <c r="N41" s="37"/>
    </row>
    <row r="42" spans="2:14" ht="15.75" thickBot="1" x14ac:dyDescent="0.3">
      <c r="B42" s="44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6"/>
    </row>
    <row r="45" spans="2:14" x14ac:dyDescent="0.25">
      <c r="B45" s="55"/>
    </row>
  </sheetData>
  <sheetProtection algorithmName="SHA-512" hashValue="QCmALmAcqSx7Ahsg+R/jFtVaI7KY9+IiUHuq3Sag0azBZsA2IJcENmkEKY41cjNO2HY0PKqpeajBNyzxJjJ2vQ==" saltValue="C7D4haxkAz3VDaF420k0Lg==" spinCount="100000" sheet="1" objects="1" scenarios="1" selectLockedCells="1"/>
  <dataConsolidate/>
  <mergeCells count="6">
    <mergeCell ref="H2:K2"/>
    <mergeCell ref="D33:K41"/>
    <mergeCell ref="C2:F2"/>
    <mergeCell ref="C8:F8"/>
    <mergeCell ref="C20:F20"/>
    <mergeCell ref="H20:K20"/>
  </mergeCells>
  <conditionalFormatting sqref="Q2">
    <cfRule type="expression" dxfId="1" priority="1">
      <formula>$R$2=FALSE</formula>
    </cfRule>
    <cfRule type="expression" dxfId="0" priority="2">
      <formula>$R$2=TRUE</formula>
    </cfRule>
  </conditionalFormatting>
  <dataValidations count="3">
    <dataValidation type="date" allowBlank="1" showInputMessage="1" showErrorMessage="1" errorTitle="Invalid Date" error="The date must be between Today and 1/1/1970" sqref="D17 I21" xr:uid="{464020F1-4E85-42EF-8572-9C3516449E8E}">
      <formula1>25569</formula1>
      <formula2>TODAY()</formula2>
    </dataValidation>
    <dataValidation allowBlank="1" showInputMessage="1" showErrorMessage="1" errorTitle="Invalid Selection" error="Please choose a value from the list" sqref="D15:D16" xr:uid="{7B6C9D3B-5E0A-423E-AF22-BC47EDB26F11}"/>
    <dataValidation allowBlank="1" showInputMessage="1" showErrorMessage="1" errorTitle="Incorrect Selection" error="Please select a value from the list" sqref="E23" xr:uid="{654AFB65-347E-4D4B-A4AB-62672BA96FDB}"/>
  </dataValidations>
  <pageMargins left="0.7" right="0.7" top="0.75" bottom="0.75" header="0.3" footer="0.3"/>
  <pageSetup orientation="portrait" r:id="rId1"/>
  <ignoredErrors>
    <ignoredError sqref="E12:E14 E21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ave_Record">
                <anchor moveWithCells="1" sizeWithCells="1">
                  <from>
                    <xdr:col>15</xdr:col>
                    <xdr:colOff>47625</xdr:colOff>
                    <xdr:row>3</xdr:row>
                    <xdr:rowOff>19050</xdr:rowOff>
                  </from>
                  <to>
                    <xdr:col>16</xdr:col>
                    <xdr:colOff>581025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_xludf.Duplicate">
                <anchor moveWithCells="1" sizeWithCells="1">
                  <from>
                    <xdr:col>15</xdr:col>
                    <xdr:colOff>38100</xdr:colOff>
                    <xdr:row>5</xdr:row>
                    <xdr:rowOff>19050</xdr:rowOff>
                  </from>
                  <to>
                    <xdr:col>16</xdr:col>
                    <xdr:colOff>571500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New_Record">
                <anchor moveWithCells="1" sizeWithCells="1">
                  <from>
                    <xdr:col>15</xdr:col>
                    <xdr:colOff>28575</xdr:colOff>
                    <xdr:row>7</xdr:row>
                    <xdr:rowOff>38100</xdr:rowOff>
                  </from>
                  <to>
                    <xdr:col>16</xdr:col>
                    <xdr:colOff>561975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Load_Selcted">
                <anchor moveWithCells="1" sizeWithCells="1">
                  <from>
                    <xdr:col>17</xdr:col>
                    <xdr:colOff>38100</xdr:colOff>
                    <xdr:row>9</xdr:row>
                    <xdr:rowOff>47625</xdr:rowOff>
                  </from>
                  <to>
                    <xdr:col>18</xdr:col>
                    <xdr:colOff>571500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Save_Changes">
                <anchor moveWithCells="1" sizeWithCells="1">
                  <from>
                    <xdr:col>17</xdr:col>
                    <xdr:colOff>38100</xdr:colOff>
                    <xdr:row>11</xdr:row>
                    <xdr:rowOff>38100</xdr:rowOff>
                  </from>
                  <to>
                    <xdr:col>18</xdr:col>
                    <xdr:colOff>571500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Export_Records">
                <anchor moveWithCells="1" sizeWithCells="1">
                  <from>
                    <xdr:col>15</xdr:col>
                    <xdr:colOff>38100</xdr:colOff>
                    <xdr:row>13</xdr:row>
                    <xdr:rowOff>19050</xdr:rowOff>
                  </from>
                  <to>
                    <xdr:col>16</xdr:col>
                    <xdr:colOff>571500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Drop Down 7">
              <controlPr defaultSize="0" autoLine="0" autoPict="0">
                <anchor moveWithCells="1">
                  <from>
                    <xdr:col>15</xdr:col>
                    <xdr:colOff>19050</xdr:colOff>
                    <xdr:row>9</xdr:row>
                    <xdr:rowOff>85725</xdr:rowOff>
                  </from>
                  <to>
                    <xdr:col>16</xdr:col>
                    <xdr:colOff>552450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FileDate_Button">
                <anchor moveWithCells="1" sizeWithCells="1">
                  <from>
                    <xdr:col>9</xdr:col>
                    <xdr:colOff>9525</xdr:colOff>
                    <xdr:row>20</xdr:row>
                    <xdr:rowOff>19050</xdr:rowOff>
                  </from>
                  <to>
                    <xdr:col>10</xdr:col>
                    <xdr:colOff>142875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BitDate_Button">
                <anchor moveWithCells="1" siz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161925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showInputMessage="1" showErrorMessage="1" errorTitle="Invalid Data" error="Value must be 1,0, or -1" xr:uid="{B0F91BD3-0C9D-4BAB-8A80-5DDBC727BEA5}">
          <x14:formula1>
            <xm:f>Menus!$A$2:$A$4</xm:f>
          </x14:formula1>
          <xm:sqref>I5:I14</xm:sqref>
        </x14:dataValidation>
        <x14:dataValidation type="list" showInputMessage="1" showErrorMessage="1" errorTitle="Invalid Data" error="Pick a value from the list" xr:uid="{76DCE1F5-47DB-4452-84DC-9DBFD5A55081}">
          <x14:formula1>
            <xm:f>Menus!$D$2:$D$3</xm:f>
          </x14:formula1>
          <xm:sqref>D21</xm:sqref>
        </x14:dataValidation>
        <x14:dataValidation type="list" allowBlank="1" showInputMessage="1" showErrorMessage="1" errorTitle="Invalid Data" error="Pick a value from the list" xr:uid="{F9324C1C-C6A0-4175-9978-7795C655E50A}">
          <x14:formula1>
            <xm:f>Menus!$G$2:$G$4</xm:f>
          </x14:formula1>
          <xm:sqref>D29:D30</xm:sqref>
        </x14:dataValidation>
        <x14:dataValidation type="list" allowBlank="1" showInputMessage="1" showErrorMessage="1" errorTitle="Invalid Data" error="Pick a value from the list" xr:uid="{57A777CE-8B7D-416F-83A4-0BE08FA84162}">
          <x14:formula1>
            <xm:f>Menus!$J$2:$J$3</xm:f>
          </x14:formula1>
          <xm:sqref>D6</xm:sqref>
        </x14:dataValidation>
        <x14:dataValidation type="list" allowBlank="1" showInputMessage="1" showErrorMessage="1" errorTitle="Invalid Data" error="Pick a value from the list" xr:uid="{C9ABE225-0748-4EC4-98FA-9F78755246F3}">
          <x14:formula1>
            <xm:f>Menus!$L$2:$L$7</xm:f>
          </x14:formula1>
          <xm:sqref>D3</xm:sqref>
        </x14:dataValidation>
        <x14:dataValidation type="list" showInputMessage="1" showErrorMessage="1" errorTitle="Invalid Data" error="Pick a value from the list" xr:uid="{3D134E54-67A7-42D5-8334-5F81512088F9}">
          <x14:formula1>
            <xm:f>Menus!$Q$2:$Q$6</xm:f>
          </x14:formula1>
          <xm:sqref>D12</xm:sqref>
        </x14:dataValidation>
        <x14:dataValidation type="list" showInputMessage="1" showErrorMessage="1" errorTitle="Invalid Data" error="Pick a value from the list" xr:uid="{FB88AD4A-D11A-48D1-9C88-07D948B383FD}">
          <x14:formula1>
            <xm:f>Menus!$T$2:$T$5</xm:f>
          </x14:formula1>
          <xm:sqref>D26</xm:sqref>
        </x14:dataValidation>
        <x14:dataValidation type="list" allowBlank="1" showInputMessage="1" showErrorMessage="1" errorTitle="Invalid Data" error="Pick a value from the list" xr:uid="{508347B2-FAC8-4E5B-95A5-3C05F1CA7E2A}">
          <x14:formula1>
            <xm:f>Menus!$T$2:$T$5</xm:f>
          </x14:formula1>
          <xm:sqref>D28</xm:sqref>
        </x14:dataValidation>
        <x14:dataValidation type="list" allowBlank="1" showInputMessage="1" showErrorMessage="1" errorTitle="Invalid Selection" error="Please choose a value from the list" xr:uid="{C71E4081-1237-4F20-9BDE-925E240874F9}">
          <x14:formula1>
            <xm:f>Menus!$V$2</xm:f>
          </x14:formula1>
          <xm:sqref>D14</xm:sqref>
        </x14:dataValidation>
        <x14:dataValidation type="list" allowBlank="1" showInputMessage="1" showErrorMessage="1" errorTitle="Incorrect Selection" error="Please select a value from the list_x000a_" xr:uid="{73C74566-8DC3-436F-9FBC-9E582AEAC0A2}">
          <x14:formula1>
            <xm:f>Menus!$Y$2:$Y$5</xm:f>
          </x14:formula1>
          <xm:sqref>K5:K14</xm:sqref>
        </x14:dataValidation>
        <x14:dataValidation type="list" allowBlank="1" showInputMessage="1" showErrorMessage="1" xr:uid="{4037C666-7D8B-4D9D-B752-0122FDEE44F4}">
          <x14:formula1>
            <xm:f>Menus!$N2:$N3</xm:f>
          </x14:formula1>
          <xm:sqref>D13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9BEFC-F447-4C3E-BA71-123EEFC12598}">
  <sheetPr codeName="Sheet2"/>
  <dimension ref="A1:AM2"/>
  <sheetViews>
    <sheetView workbookViewId="0"/>
  </sheetViews>
  <sheetFormatPr defaultColWidth="12.42578125" defaultRowHeight="15" x14ac:dyDescent="0.25"/>
  <cols>
    <col min="1" max="1" width="12.28515625" bestFit="1" customWidth="1"/>
    <col min="2" max="2" width="16.140625" bestFit="1" customWidth="1"/>
    <col min="3" max="3" width="17.42578125" bestFit="1" customWidth="1"/>
    <col min="4" max="4" width="14.85546875" bestFit="1" customWidth="1"/>
    <col min="5" max="5" width="21.28515625" bestFit="1" customWidth="1"/>
    <col min="6" max="6" width="12.85546875" bestFit="1" customWidth="1"/>
    <col min="7" max="7" width="19.28515625" bestFit="1" customWidth="1"/>
    <col min="8" max="8" width="8.85546875" bestFit="1" customWidth="1"/>
    <col min="9" max="9" width="12.28515625" bestFit="1" customWidth="1"/>
    <col min="10" max="10" width="13.7109375" bestFit="1" customWidth="1"/>
    <col min="11" max="11" width="11" bestFit="1" customWidth="1"/>
    <col min="12" max="12" width="12.5703125" style="2" bestFit="1" customWidth="1"/>
    <col min="13" max="13" width="10.28515625" bestFit="1" customWidth="1"/>
    <col min="14" max="14" width="10.85546875" bestFit="1" customWidth="1"/>
    <col min="15" max="15" width="18.140625" bestFit="1" customWidth="1"/>
    <col min="16" max="16" width="14.85546875" bestFit="1" customWidth="1"/>
    <col min="17" max="25" width="18.140625" bestFit="1" customWidth="1"/>
    <col min="26" max="26" width="19.140625" bestFit="1" customWidth="1"/>
    <col min="27" max="27" width="14.5703125" bestFit="1" customWidth="1"/>
    <col min="28" max="28" width="16.7109375" bestFit="1" customWidth="1"/>
    <col min="29" max="29" width="10.5703125" bestFit="1" customWidth="1"/>
    <col min="30" max="30" width="22.85546875" bestFit="1" customWidth="1"/>
    <col min="31" max="31" width="22.5703125" bestFit="1" customWidth="1"/>
    <col min="32" max="32" width="15.5703125" bestFit="1" customWidth="1"/>
    <col min="33" max="33" width="23.42578125" bestFit="1" customWidth="1"/>
    <col min="34" max="34" width="16.42578125" bestFit="1" customWidth="1"/>
    <col min="35" max="35" width="12.42578125" bestFit="1" customWidth="1"/>
    <col min="36" max="37" width="17.42578125" bestFit="1" customWidth="1"/>
    <col min="38" max="38" width="12.5703125" bestFit="1" customWidth="1"/>
    <col min="39" max="39" width="24.85546875" bestFit="1" customWidth="1"/>
  </cols>
  <sheetData>
    <row r="1" spans="1:39" x14ac:dyDescent="0.25">
      <c r="A1" s="5" t="s">
        <v>49</v>
      </c>
      <c r="B1" s="6" t="s">
        <v>101</v>
      </c>
      <c r="C1" s="6" t="s">
        <v>102</v>
      </c>
      <c r="D1" s="6" t="s">
        <v>99</v>
      </c>
      <c r="E1" s="6" t="s">
        <v>100</v>
      </c>
      <c r="F1" s="7" t="s">
        <v>118</v>
      </c>
      <c r="G1" s="4" t="s">
        <v>32</v>
      </c>
      <c r="H1" s="4" t="s">
        <v>33</v>
      </c>
      <c r="I1" s="4" t="s">
        <v>34</v>
      </c>
      <c r="J1" s="4" t="s">
        <v>35</v>
      </c>
      <c r="K1" s="4" t="s">
        <v>36</v>
      </c>
      <c r="L1" s="4" t="s">
        <v>120</v>
      </c>
      <c r="M1" s="4" t="s">
        <v>97</v>
      </c>
      <c r="N1" s="8" t="s">
        <v>37</v>
      </c>
      <c r="O1" s="4" t="s">
        <v>103</v>
      </c>
      <c r="P1" s="4" t="s">
        <v>131</v>
      </c>
      <c r="Q1" s="4" t="s">
        <v>104</v>
      </c>
      <c r="R1" s="4" t="s">
        <v>105</v>
      </c>
      <c r="S1" s="4" t="s">
        <v>106</v>
      </c>
      <c r="T1" s="4" t="s">
        <v>107</v>
      </c>
      <c r="U1" s="4" t="s">
        <v>108</v>
      </c>
      <c r="V1" s="4" t="s">
        <v>109</v>
      </c>
      <c r="W1" s="4" t="s">
        <v>110</v>
      </c>
      <c r="X1" s="4" t="s">
        <v>111</v>
      </c>
      <c r="Y1" s="4" t="s">
        <v>112</v>
      </c>
      <c r="Z1" s="4" t="s">
        <v>113</v>
      </c>
      <c r="AA1" s="4" t="s">
        <v>114</v>
      </c>
      <c r="AB1" s="4" t="s">
        <v>38</v>
      </c>
      <c r="AC1" s="4" t="s">
        <v>24</v>
      </c>
      <c r="AD1" s="4" t="s">
        <v>98</v>
      </c>
      <c r="AE1" s="4" t="s">
        <v>115</v>
      </c>
      <c r="AF1" s="4" t="s">
        <v>39</v>
      </c>
      <c r="AG1" s="4" t="s">
        <v>116</v>
      </c>
      <c r="AH1" s="4" t="s">
        <v>40</v>
      </c>
      <c r="AI1" s="4" t="s">
        <v>41</v>
      </c>
      <c r="AJ1" s="4" t="s">
        <v>42</v>
      </c>
      <c r="AK1" s="4" t="s">
        <v>117</v>
      </c>
      <c r="AL1" s="4" t="s">
        <v>48</v>
      </c>
      <c r="AM1" s="4" t="s">
        <v>31</v>
      </c>
    </row>
    <row r="2" spans="1:39" x14ac:dyDescent="0.25">
      <c r="A2" s="1"/>
      <c r="B2" s="9"/>
      <c r="C2" s="9"/>
      <c r="D2" s="9"/>
      <c r="E2" s="9"/>
      <c r="F2" s="9"/>
      <c r="G2" s="9"/>
      <c r="H2" s="9"/>
      <c r="I2" s="11"/>
      <c r="J2" s="11"/>
      <c r="K2" s="11"/>
      <c r="L2" s="9"/>
      <c r="M2" s="10"/>
      <c r="N2" s="17"/>
      <c r="O2" s="10"/>
      <c r="P2" s="13"/>
      <c r="Q2" s="15"/>
      <c r="R2" s="15"/>
      <c r="S2" s="15"/>
      <c r="T2" s="15"/>
      <c r="U2" s="15"/>
      <c r="V2" s="11"/>
      <c r="W2" s="11"/>
      <c r="X2" s="11"/>
      <c r="Y2" s="11"/>
      <c r="Z2" s="11"/>
      <c r="AA2" s="16"/>
      <c r="AB2" s="12"/>
      <c r="AC2" s="13"/>
      <c r="AD2" s="14"/>
      <c r="AE2" s="15"/>
      <c r="AF2" s="15"/>
      <c r="AG2" s="15"/>
      <c r="AH2" s="15"/>
      <c r="AI2" s="15"/>
      <c r="AJ2" s="15"/>
      <c r="AK2" s="69"/>
      <c r="AL2" s="3"/>
      <c r="AM2" s="18"/>
    </row>
  </sheetData>
  <sheetProtection selectLockedCells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08BE6-BF30-4389-A1B1-86FB9CC48C3F}">
  <sheetPr codeName="Sheet4"/>
  <dimension ref="A1:Y7"/>
  <sheetViews>
    <sheetView workbookViewId="0"/>
  </sheetViews>
  <sheetFormatPr defaultRowHeight="15" x14ac:dyDescent="0.25"/>
  <cols>
    <col min="1" max="1" width="22.7109375" customWidth="1"/>
    <col min="2" max="2" width="20.85546875" customWidth="1"/>
    <col min="4" max="4" width="13.85546875" customWidth="1"/>
    <col min="5" max="5" width="11.7109375" customWidth="1"/>
    <col min="10" max="10" width="20.5703125" bestFit="1" customWidth="1"/>
    <col min="12" max="12" width="11.42578125" bestFit="1" customWidth="1"/>
    <col min="14" max="14" width="13" customWidth="1"/>
    <col min="17" max="17" width="17" bestFit="1" customWidth="1"/>
    <col min="18" max="18" width="17" customWidth="1"/>
    <col min="22" max="22" width="13.5703125" customWidth="1"/>
  </cols>
  <sheetData>
    <row r="1" spans="1:25" x14ac:dyDescent="0.25">
      <c r="A1" t="s">
        <v>54</v>
      </c>
      <c r="B1" t="s">
        <v>86</v>
      </c>
      <c r="D1" t="s">
        <v>55</v>
      </c>
      <c r="E1" t="s">
        <v>86</v>
      </c>
      <c r="G1" t="s">
        <v>58</v>
      </c>
      <c r="H1" t="s">
        <v>86</v>
      </c>
      <c r="J1" t="s">
        <v>51</v>
      </c>
      <c r="L1" t="s">
        <v>2</v>
      </c>
      <c r="N1" t="s">
        <v>8</v>
      </c>
      <c r="O1" t="s">
        <v>86</v>
      </c>
      <c r="Q1" t="s">
        <v>43</v>
      </c>
      <c r="R1" t="s">
        <v>86</v>
      </c>
      <c r="T1" t="s">
        <v>76</v>
      </c>
      <c r="V1" t="s">
        <v>91</v>
      </c>
      <c r="W1" t="s">
        <v>86</v>
      </c>
      <c r="Y1" t="s">
        <v>121</v>
      </c>
    </row>
    <row r="2" spans="1:25" x14ac:dyDescent="0.25">
      <c r="A2" t="s">
        <v>88</v>
      </c>
      <c r="B2">
        <v>1</v>
      </c>
      <c r="D2" t="s">
        <v>56</v>
      </c>
      <c r="E2">
        <v>1</v>
      </c>
      <c r="G2" t="s">
        <v>59</v>
      </c>
      <c r="H2">
        <v>1</v>
      </c>
      <c r="J2" t="s">
        <v>62</v>
      </c>
      <c r="L2" t="s">
        <v>64</v>
      </c>
      <c r="N2" t="s">
        <v>87</v>
      </c>
      <c r="O2">
        <v>0</v>
      </c>
      <c r="Q2" t="s">
        <v>70</v>
      </c>
      <c r="R2">
        <v>1</v>
      </c>
      <c r="T2">
        <v>500</v>
      </c>
      <c r="V2" t="s">
        <v>92</v>
      </c>
      <c r="W2">
        <v>1</v>
      </c>
      <c r="Y2" t="s">
        <v>83</v>
      </c>
    </row>
    <row r="3" spans="1:25" x14ac:dyDescent="0.25">
      <c r="A3" t="s">
        <v>89</v>
      </c>
      <c r="B3">
        <v>0</v>
      </c>
      <c r="D3" t="s">
        <v>57</v>
      </c>
      <c r="E3">
        <v>2</v>
      </c>
      <c r="G3" t="s">
        <v>60</v>
      </c>
      <c r="H3">
        <v>2</v>
      </c>
      <c r="J3" t="s">
        <v>63</v>
      </c>
      <c r="L3" t="s">
        <v>65</v>
      </c>
      <c r="N3" t="s">
        <v>75</v>
      </c>
      <c r="O3">
        <v>1</v>
      </c>
      <c r="Q3" t="s">
        <v>71</v>
      </c>
      <c r="R3">
        <v>2</v>
      </c>
      <c r="T3">
        <v>200</v>
      </c>
      <c r="Y3" t="s">
        <v>123</v>
      </c>
    </row>
    <row r="4" spans="1:25" x14ac:dyDescent="0.25">
      <c r="A4" t="s">
        <v>90</v>
      </c>
      <c r="B4">
        <v>-1</v>
      </c>
      <c r="G4" t="s">
        <v>61</v>
      </c>
      <c r="H4">
        <v>3</v>
      </c>
      <c r="L4" t="s">
        <v>66</v>
      </c>
      <c r="Q4" t="s">
        <v>72</v>
      </c>
      <c r="R4">
        <v>3</v>
      </c>
      <c r="T4">
        <v>100</v>
      </c>
      <c r="Y4" t="s">
        <v>94</v>
      </c>
    </row>
    <row r="5" spans="1:25" x14ac:dyDescent="0.25">
      <c r="L5" t="s">
        <v>67</v>
      </c>
      <c r="Q5" t="s">
        <v>73</v>
      </c>
      <c r="R5">
        <v>4</v>
      </c>
      <c r="T5">
        <v>16</v>
      </c>
      <c r="Y5" t="s">
        <v>122</v>
      </c>
    </row>
    <row r="6" spans="1:25" x14ac:dyDescent="0.25">
      <c r="L6" t="s">
        <v>68</v>
      </c>
      <c r="Q6" t="s">
        <v>74</v>
      </c>
      <c r="R6">
        <v>5</v>
      </c>
    </row>
    <row r="7" spans="1:25" x14ac:dyDescent="0.25">
      <c r="L7" t="s">
        <v>69</v>
      </c>
    </row>
  </sheetData>
  <sheetProtection algorithmName="SHA-512" hashValue="kiMM/2k6sqFPyZAWyFRqNvx1tf4nwHnyvNxz0NXg+qplFJIVcezY+2jCCZAj6LqSP7NlMT/QdeIFpDNSMuqirw==" saltValue="pVkh9z4tumerIkoMOZZ7Iw==" spinCount="100000" sheet="1" objects="1" scenarios="1" selectLockedCells="1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CF57316EE04840A0E381199415D726" ma:contentTypeVersion="8" ma:contentTypeDescription="Create a new document." ma:contentTypeScope="" ma:versionID="6adbc7a09591ef66eca069f2072d8ac1">
  <xsd:schema xmlns:xsd="http://www.w3.org/2001/XMLSchema" xmlns:xs="http://www.w3.org/2001/XMLSchema" xmlns:p="http://schemas.microsoft.com/office/2006/metadata/properties" xmlns:ns2="60bec2d0-ce15-4832-86a4-73f71470b1e3" xmlns:ns3="98e9388d-3253-4d31-817a-f7f403c3a896" targetNamespace="http://schemas.microsoft.com/office/2006/metadata/properties" ma:root="true" ma:fieldsID="5d284d3bf724d6b09ae31f6d1df6c116" ns2:_="" ns3:_="">
    <xsd:import namespace="60bec2d0-ce15-4832-86a4-73f71470b1e3"/>
    <xsd:import namespace="98e9388d-3253-4d31-817a-f7f403c3a89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Location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bec2d0-ce15-4832-86a4-73f71470b1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4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e9388d-3253-4d31-817a-f7f403c3a896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2E9D8DD-9AAB-4007-8990-0D8438E646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0bec2d0-ce15-4832-86a4-73f71470b1e3"/>
    <ds:schemaRef ds:uri="98e9388d-3253-4d31-817a-f7f403c3a89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DAFD66-17DB-4FAF-8847-9D6767A835AB}">
  <ds:schemaRefs>
    <ds:schemaRef ds:uri="http://purl.org/dc/dcmitype/"/>
    <ds:schemaRef ds:uri="60bec2d0-ce15-4832-86a4-73f71470b1e3"/>
    <ds:schemaRef ds:uri="http://schemas.microsoft.com/office/2006/metadata/properties"/>
    <ds:schemaRef ds:uri="http://schemas.microsoft.com/office/2006/documentManagement/types"/>
    <ds:schemaRef ds:uri="98e9388d-3253-4d31-817a-f7f403c3a896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8D6D31D-94F1-47FF-906F-66F89544EB9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61</vt:i4>
      </vt:variant>
    </vt:vector>
  </HeadingPairs>
  <TitlesOfParts>
    <vt:vector size="64" baseType="lpstr">
      <vt:lpstr>Header</vt:lpstr>
      <vt:lpstr>Records</vt:lpstr>
      <vt:lpstr>Menus</vt:lpstr>
      <vt:lpstr>Axial_Axis</vt:lpstr>
      <vt:lpstr>Axial_Selection</vt:lpstr>
      <vt:lpstr>Bit_Date</vt:lpstr>
      <vt:lpstr>Bit_Model</vt:lpstr>
      <vt:lpstr>Bit_Size</vt:lpstr>
      <vt:lpstr>Bit_Type_Selection</vt:lpstr>
      <vt:lpstr>Comments</vt:lpstr>
      <vt:lpstr>Component_Lengths</vt:lpstr>
      <vt:lpstr>Component_Units</vt:lpstr>
      <vt:lpstr>Drill_Bit</vt:lpstr>
      <vt:lpstr>Drill_MWD</vt:lpstr>
      <vt:lpstr>Drill_Type</vt:lpstr>
      <vt:lpstr>Drill_Type_Selection</vt:lpstr>
      <vt:lpstr>DS_C1</vt:lpstr>
      <vt:lpstr>DS_C1_Selection</vt:lpstr>
      <vt:lpstr>DS_C10</vt:lpstr>
      <vt:lpstr>DS_C10_Selection</vt:lpstr>
      <vt:lpstr>DS_C2</vt:lpstr>
      <vt:lpstr>DS_C2_Selection</vt:lpstr>
      <vt:lpstr>DS_C3</vt:lpstr>
      <vt:lpstr>DS_C3_Selection</vt:lpstr>
      <vt:lpstr>DS_C4</vt:lpstr>
      <vt:lpstr>DS_C4_Selection</vt:lpstr>
      <vt:lpstr>DS_C5</vt:lpstr>
      <vt:lpstr>DS_C5_Selection</vt:lpstr>
      <vt:lpstr>DS_C6</vt:lpstr>
      <vt:lpstr>DS_C6_Selection</vt:lpstr>
      <vt:lpstr>DS_C7</vt:lpstr>
      <vt:lpstr>DS_C7_Selection</vt:lpstr>
      <vt:lpstr>DS_C8</vt:lpstr>
      <vt:lpstr>DS_C8_Selection</vt:lpstr>
      <vt:lpstr>DS_C9</vt:lpstr>
      <vt:lpstr>DS_C9_Selection</vt:lpstr>
      <vt:lpstr>DS_Length</vt:lpstr>
      <vt:lpstr>DS_Total_Length_Aux</vt:lpstr>
      <vt:lpstr>Engineer</vt:lpstr>
      <vt:lpstr>File_date</vt:lpstr>
      <vt:lpstr>File_name</vt:lpstr>
      <vt:lpstr>File_to_load</vt:lpstr>
      <vt:lpstr>Installation_Diameter</vt:lpstr>
      <vt:lpstr>Loaded</vt:lpstr>
      <vt:lpstr>Mine_Company</vt:lpstr>
      <vt:lpstr>Mine_Country</vt:lpstr>
      <vt:lpstr>Mine_Name</vt:lpstr>
      <vt:lpstr>MWD_Type_Selection</vt:lpstr>
      <vt:lpstr>Record_ID</vt:lpstr>
      <vt:lpstr>Rig_ID</vt:lpstr>
      <vt:lpstr>Rig_Manufacturer</vt:lpstr>
      <vt:lpstr>Rig_Model</vt:lpstr>
      <vt:lpstr>Saved</vt:lpstr>
      <vt:lpstr>Sensor_MMG</vt:lpstr>
      <vt:lpstr>Sensor_MSR</vt:lpstr>
      <vt:lpstr>Sensor_PMG</vt:lpstr>
      <vt:lpstr>Sensor_Position</vt:lpstr>
      <vt:lpstr>Sensor_PSR</vt:lpstr>
      <vt:lpstr>Sensor_SN</vt:lpstr>
      <vt:lpstr>Sensor_Type</vt:lpstr>
      <vt:lpstr>Sensor_Type_Selection</vt:lpstr>
      <vt:lpstr>Steel_OD</vt:lpstr>
      <vt:lpstr>Tangential_Axis</vt:lpstr>
      <vt:lpstr>Tangential_Selection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</dc:creator>
  <cp:lastModifiedBy>Natal</cp:lastModifiedBy>
  <dcterms:created xsi:type="dcterms:W3CDTF">2018-06-05T19:36:04Z</dcterms:created>
  <dcterms:modified xsi:type="dcterms:W3CDTF">2018-06-13T04:50:56Z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0x01010048CF57316EE04840A0E381199415D726</vt:lpwstr>
  </property>
</Properties>
</file>